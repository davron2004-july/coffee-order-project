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Users/test/Documents/"/>
    </mc:Choice>
  </mc:AlternateContent>
  <xr:revisionPtr revIDLastSave="0" documentId="13_ncr:1_{013D9F86-CEA8-204E-9D80-B19ADA9E2E2A}" xr6:coauthVersionLast="47" xr6:coauthVersionMax="47" xr10:uidLastSave="{00000000-0000-0000-0000-000000000000}"/>
  <bookViews>
    <workbookView xWindow="0" yWindow="500" windowWidth="28800" windowHeight="16080" xr2:uid="{00000000-000D-0000-FFFF-FFFF00000000}"/>
  </bookViews>
  <sheets>
    <sheet name="Dashboard" sheetId="22" r:id="rId1"/>
    <sheet name="orders" sheetId="17" r:id="rId2"/>
    <sheet name="customers" sheetId="13" r:id="rId3"/>
    <sheet name="products" sheetId="2" r:id="rId4"/>
    <sheet name="Top5Customers" sheetId="21" r:id="rId5"/>
    <sheet name="CountryBarChart" sheetId="20" r:id="rId6"/>
    <sheet name="TotalSales" sheetId="18" r:id="rId7"/>
  </sheets>
  <definedNames>
    <definedName name="_xlnm._FilterDatabase" localSheetId="1" hidden="1">orders!$A$1:$M$1001</definedName>
    <definedName name="_xlnm._FilterDatabase" localSheetId="3"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<sst xmlns="http://schemas.openxmlformats.org/spreadsheetml/2006/main" count="11136" uniqueCount="6227">
  <si>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</si>
  <si>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</si>
  <si>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</si>
  <si>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</si>
  <si>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</si>
  <si>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</si>
  <si>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</si>
  <si>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</si>
  <si>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</si>
  <si>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</si>
  <si>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</si>
  <si>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</si>
  <si>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</si>
  <si>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</si>
  <si>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</si>
  <si>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</si>
  <si>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</si>
  <si>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</si>
  <si>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</si>
  <si>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</si>
  <si>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</si>
  <si>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</si>
  <si>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</si>
  <si>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</si>
  <si>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</si>
  <si>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</si>
  <si>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</si>
  <si>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</si>
  <si>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</si>
  <si>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</si>
  <si>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</si>
  <si>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</si>
  <si>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</si>
  <si>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</si>
  <si>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</si>
  <si>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</si>
  <si>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</si>
  <si>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</si>
  <si>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</si>
  <si>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</si>
  <si>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</si>
  <si>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</si>
  <si>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</si>
  <si>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</si>
  <si>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</si>
  <si>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</si>
  <si>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</si>
  <si>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</si>
  <si>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</si>
  <si>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</si>
  <si>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</si>
  <si>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</si>
  <si>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</si>
  <si>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</si>
  <si>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</si>
  <si>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</si>
  <si>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</si>
  <si>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</si>
  <si>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</si>
  <si>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</si>
  <si>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</si>
  <si>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</si>
  <si>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</si>
  <si>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</si>
  <si>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</si>
  <si>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</si>
  <si>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</si>
  <si>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</si>
  <si>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</si>
  <si>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</si>
  <si>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</si>
  <si>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</si>
  <si>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</si>
  <si>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</si>
  <si>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</si>
  <si>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</si>
  <si>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</si>
  <si>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</si>
  <si>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</si>
  <si>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</si>
  <si>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</si>
  <si>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</si>
  <si>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</si>
  <si>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</si>
  <si>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</si>
  <si>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</si>
  <si>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</si>
  <si>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</si>
  <si>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</si>
  <si>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</si>
  <si>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</si>
  <si>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</si>
  <si>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</si>
  <si>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</si>
  <si>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</si>
  <si>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</si>
  <si>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</si>
  <si>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</si>
  <si>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</si>
  <si>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</si>
  <si>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</si>
  <si>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</si>
  <si>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</si>
  <si>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</si>
  <si>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</si>
  <si>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</si>
  <si>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</si>
  <si>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</si>
  <si>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</si>
  <si>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</si>
  <si>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</si>
  <si>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</si>
  <si>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</si>
  <si>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</si>
  <si>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</si>
  <si>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</si>
  <si>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</si>
  <si>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</si>
  <si>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</si>
  <si>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</si>
  <si>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</si>
  <si>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</si>
  <si>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</si>
  <si>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</si>
  <si>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</si>
  <si>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</si>
  <si>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</si>
  <si>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</si>
  <si>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</si>
  <si>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</si>
  <si>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</si>
  <si>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</si>
  <si>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</si>
  <si>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</si>
  <si>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</si>
  <si>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</si>
  <si>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</si>
  <si>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</si>
  <si>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</si>
  <si>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</si>
  <si>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</si>
  <si>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</si>
  <si>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</si>
  <si>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</si>
  <si>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</si>
  <si>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</si>
  <si>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</si>
  <si>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</si>
  <si>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</si>
  <si>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</si>
  <si>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</si>
  <si>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</si>
  <si>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</si>
  <si>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</si>
  <si>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</si>
  <si>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</si>
  <si>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</si>
  <si>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</si>
  <si>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</si>
  <si>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</si>
  <si>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</si>
  <si>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</si>
  <si>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</si>
  <si>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</si>
  <si>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</si>
  <si>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</si>
  <si>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</si>
  <si>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</si>
  <si>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</si>
  <si>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</si>
  <si>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</si>
  <si>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</si>
  <si>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</si>
  <si>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</si>
  <si>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</si>
  <si>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</si>
  <si>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</si>
  <si>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</si>
  <si>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</si>
  <si>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</si>
  <si>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</si>
  <si>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</si>
  <si>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</si>
  <si>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</si>
  <si>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</si>
  <si>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</si>
  <si>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</si>
  <si>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</si>
  <si>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</si>
  <si>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</si>
  <si>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</si>
  <si>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</si>
  <si>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</si>
  <si>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</si>
  <si>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</si>
  <si>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</si>
  <si>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</si>
  <si>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</si>
  <si>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</si>
  <si>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</si>
  <si>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</si>
  <si>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</si>
  <si>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</si>
  <si>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</si>
  <si>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</si>
  <si>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</si>
  <si>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</si>
  <si>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</si>
  <si>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</si>
  <si>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</si>
  <si>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</si>
  <si>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</si>
  <si>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</si>
  <si>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</si>
  <si>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</si>
  <si>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</si>
  <si>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</si>
  <si>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</si>
  <si>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</si>
  <si>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</si>
  <si>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</si>
  <si>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</si>
  <si>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</si>
  <si>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</si>
  <si>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</si>
  <si>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</si>
  <si>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</si>
  <si>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</si>
  <si>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</si>
  <si>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</si>
  <si>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</si>
  <si>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</si>
  <si>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</si>
  <si>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</si>
  <si>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</si>
  <si>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</si>
  <si>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</si>
  <si>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</si>
  <si>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</si>
  <si>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</si>
  <si>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</si>
  <si>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</si>
  <si>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</si>
  <si>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</si>
  <si>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</si>
  <si>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</si>
  <si>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</si>
  <si>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</si>
  <si>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</si>
  <si>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</si>
  <si>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</si>
  <si>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</si>
  <si>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</si>
  <si>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</si>
  <si>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</si>
  <si>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</si>
  <si>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</si>
  <si>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</si>
  <si>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</si>
  <si>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</si>
  <si>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</si>
  <si>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</si>
  <si>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</si>
  <si>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</si>
  <si>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</si>
  <si>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</si>
  <si>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</si>
  <si>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</si>
  <si>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</si>
  <si>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</si>
  <si>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</si>
  <si>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</si>
  <si>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</si>
  <si>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</si>
  <si>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</si>
  <si>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</si>
  <si>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</si>
  <si>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</si>
  <si>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</si>
  <si>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</si>
  <si>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</si>
  <si>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</si>
  <si>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</si>
  <si>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</si>
  <si>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</si>
  <si>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</si>
  <si>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</si>
  <si>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</si>
  <si>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</si>
  <si>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</si>
  <si>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</si>
  <si>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</si>
  <si>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</si>
  <si>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</si>
  <si>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</si>
  <si>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</si>
  <si>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</si>
  <si>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</si>
  <si>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</si>
  <si>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</si>
  <si>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</si>
  <si>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</si>
  <si>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</si>
  <si>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</si>
  <si>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</si>
  <si>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</si>
  <si>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</si>
  <si>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</si>
  <si>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</si>
  <si>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</si>
  <si>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</si>
  <si>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</si>
  <si>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</si>
  <si>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</si>
  <si>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</si>
  <si>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</si>
  <si>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</si>
  <si>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</si>
  <si>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</si>
  <si>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</si>
  <si>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</si>
  <si>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</si>
  <si>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</si>
  <si>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</si>
  <si>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</si>
  <si>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</si>
  <si>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</si>
  <si>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</si>
  <si>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</si>
  <si>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</si>
  <si>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</si>
  <si>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</si>
  <si>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</si>
  <si>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</si>
  <si>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</si>
  <si>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</si>
  <si>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</si>
  <si>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</si>
  <si>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</si>
  <si>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</si>
  <si>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</si>
  <si>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</si>
  <si>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</si>
  <si>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</si>
  <si>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</si>
  <si>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</si>
  <si>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</si>
  <si>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</si>
  <si>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</si>
  <si>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</si>
  <si>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</si>
  <si>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</si>
  <si>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</si>
  <si>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</si>
  <si>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</si>
  <si>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</si>
  <si>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</si>
  <si>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</si>
  <si>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</si>
  <si>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</si>
  <si>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</si>
  <si>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</si>
  <si>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</si>
  <si>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</si>
  <si>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</si>
  <si>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</si>
  <si>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</si>
  <si>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</si>
  <si>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</si>
  <si>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</si>
  <si>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</si>
  <si>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</si>
  <si>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</si>
  <si>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</si>
  <si>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</si>
  <si>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</si>
  <si>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</si>
  <si>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</si>
  <si>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</si>
  <si>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</si>
  <si>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</si>
  <si>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</si>
  <si>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</si>
  <si>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</si>
  <si>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</si>
  <si>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</si>
  <si>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</si>
  <si>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</si>
  <si>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</si>
  <si>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</si>
  <si>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</si>
  <si>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</si>
  <si>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</si>
  <si>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</si>
  <si>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</si>
  <si>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</si>
  <si>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</si>
  <si>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</si>
  <si>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</si>
  <si>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</si>
  <si>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</si>
  <si>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</si>
  <si>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</si>
  <si>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</si>
  <si>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</si>
  <si>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</si>
  <si>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</si>
  <si>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</si>
  <si>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</si>
  <si>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</si>
  <si>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</si>
  <si>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</si>
  <si>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</si>
  <si>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</si>
  <si>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</si>
  <si>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</si>
  <si>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</si>
  <si>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</si>
  <si>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</si>
  <si>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</si>
  <si>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</si>
  <si>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</si>
  <si>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</si>
  <si>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</si>
  <si>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</si>
  <si>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</si>
  <si>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</si>
  <si>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</si>
  <si>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</si>
  <si>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</si>
  <si>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</si>
  <si>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</si>
  <si>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</si>
  <si>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</si>
  <si>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</si>
  <si>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</si>
  <si>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</si>
  <si>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</si>
  <si>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</si>
  <si>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</si>
  <si>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</si>
  <si>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</si>
  <si>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</si>
  <si>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</si>
  <si>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</si>
  <si>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</si>
  <si>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</si>
  <si>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</si>
  <si>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</si>
  <si>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</si>
  <si>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</si>
  <si>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</si>
  <si>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</si>
  <si>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</si>
  <si>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</si>
  <si>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</si>
  <si>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</si>
  <si>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</si>
  <si>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</si>
  <si>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</si>
  <si>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</si>
  <si>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</si>
  <si>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</si>
  <si>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</si>
  <si>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</si>
  <si>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</si>
  <si>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</si>
  <si>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</si>
  <si>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</si>
  <si>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</si>
  <si>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</si>
  <si>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</si>
  <si>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</si>
  <si>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</si>
  <si>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</si>
  <si>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</si>
  <si>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</si>
  <si>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</si>
  <si>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</si>
  <si>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</si>
  <si>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</si>
  <si>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</si>
  <si>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</si>
  <si>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</si>
  <si>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</si>
  <si>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</si>
  <si>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</si>
  <si>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</si>
  <si>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</si>
  <si>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</si>
  <si>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</si>
  <si>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</si>
  <si>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</si>
  <si>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</si>
  <si>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</si>
  <si>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</si>
  <si>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</si>
  <si>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</si>
  <si>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</si>
  <si>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</si>
  <si>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</si>
  <si>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</si>
  <si>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</si>
  <si>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</si>
  <si>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</si>
  <si>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</si>
  <si>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</si>
  <si>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</si>
  <si>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</si>
  <si>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</si>
  <si>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</si>
  <si>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</si>
  <si>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</si>
  <si>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</si>
  <si>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</si>
  <si>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</si>
  <si>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</si>
  <si>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</si>
  <si>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</si>
  <si>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</si>
  <si>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</si>
  <si>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</si>
  <si>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</si>
  <si>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</si>
  <si>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</si>
  <si>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</si>
  <si>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</si>
  <si>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</si>
  <si>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</si>
  <si>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</si>
  <si>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</si>
  <si>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</si>
  <si>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</si>
  <si>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</si>
  <si>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</si>
  <si>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</si>
  <si>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</si>
  <si>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</si>
  <si>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</si>
  <si>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</si>
  <si>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</si>
  <si>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</si>
  <si>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</si>
  <si>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</si>
  <si>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</si>
  <si>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</si>
  <si>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</si>
  <si>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</si>
  <si>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</si>
  <si>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</si>
  <si>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</si>
  <si>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</si>
  <si>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</si>
  <si>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</si>
  <si>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</si>
  <si>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</si>
  <si>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</si>
  <si>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</si>
  <si>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</si>
  <si>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</si>
  <si>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</si>
  <si>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</si>
  <si>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</si>
  <si>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</si>
  <si>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</si>
  <si>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</si>
  <si>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</si>
  <si>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</si>
  <si>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</si>
  <si>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</si>
  <si>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</si>
  <si>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</si>
  <si>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</si>
  <si>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</si>
  <si>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</si>
  <si>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</si>
  <si>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</si>
  <si>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</si>
  <si>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</si>
  <si>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</si>
  <si>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</si>
  <si>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</si>
  <si>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</si>
  <si>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</si>
  <si>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</si>
  <si>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</si>
  <si>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</si>
  <si>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</si>
  <si>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</si>
  <si>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</si>
  <si>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</si>
  <si>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</si>
  <si>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</si>
  <si>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</si>
  <si>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</si>
  <si>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</si>
  <si>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</si>
  <si>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</si>
  <si>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</si>
  <si>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</si>
  <si>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</si>
  <si>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</si>
  <si>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</si>
  <si>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</si>
  <si>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</si>
  <si>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</si>
  <si>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</si>
  <si>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</si>
  <si>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</si>
  <si>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</si>
  <si>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</si>
  <si>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</si>
  <si>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</si>
  <si>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</si>
  <si>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</si>
  <si>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</si>
  <si>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</si>
  <si>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</si>
  <si>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</si>
  <si>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</si>
  <si>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</si>
  <si>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</si>
  <si>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</si>
  <si>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</si>
  <si>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</si>
  <si>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</si>
  <si>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</si>
  <si>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</si>
  <si>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</si>
  <si>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</si>
  <si>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</si>
  <si>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</si>
  <si>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</si>
  <si>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</si>
  <si>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</si>
  <si>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</si>
  <si>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</si>
  <si>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</si>
  <si>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</si>
  <si>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</si>
  <si>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</si>
  <si>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</si>
  <si>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</si>
  <si>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</si>
  <si>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</si>
  <si>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</si>
  <si>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</si>
  <si>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</si>
  <si>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</si>
  <si>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</si>
  <si>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</si>
  <si>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</si>
  <si>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</si>
  <si>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</si>
  <si>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</si>
  <si>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</si>
  <si>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</si>
  <si>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</si>
  <si>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</si>
  <si>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</si>
  <si>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</si>
  <si>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</si>
  <si>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</si>
  <si>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</si>
  <si>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</si>
  <si>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</si>
  <si>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</si>
  <si>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</si>
  <si>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</si>
  <si>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</si>
  <si>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</si>
  <si>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</si>
  <si>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</si>
  <si>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</si>
  <si>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</si>
  <si>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</si>
  <si>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</si>
  <si>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</si>
  <si>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</si>
  <si>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</si>
  <si>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</si>
  <si>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</si>
  <si>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</si>
  <si>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</si>
  <si>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</si>
  <si>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</si>
  <si>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</si>
  <si>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</si>
  <si>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</si>
  <si>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</si>
  <si>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</si>
  <si>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</si>
  <si>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</si>
  <si>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</si>
  <si>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</si>
  <si>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</si>
  <si>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</si>
  <si>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</si>
  <si>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</si>
  <si>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</si>
  <si>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</si>
  <si>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</si>
  <si>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</si>
  <si>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</si>
  <si>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</si>
  <si>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</si>
  <si>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</si>
  <si>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</si>
  <si>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</si>
  <si>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</si>
  <si>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</si>
  <si>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</si>
  <si>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</si>
  <si>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</si>
  <si>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</si>
  <si>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</si>
  <si>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</si>
  <si>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</si>
  <si>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</si>
  <si>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</si>
  <si>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</si>
  <si>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</si>
  <si>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</si>
  <si>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</si>
  <si>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</si>
  <si>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</si>
  <si>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</si>
  <si>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</si>
  <si>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</si>
  <si>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</si>
  <si>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</si>
  <si>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</si>
  <si>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</si>
  <si>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</si>
  <si>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</si>
  <si>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</si>
  <si>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</si>
  <si>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</si>
  <si>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</si>
  <si>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</si>
  <si>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</si>
  <si>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</si>
  <si>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</si>
  <si>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</si>
  <si>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</si>
  <si>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</si>
  <si>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</si>
  <si>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</si>
  <si>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</si>
  <si>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</si>
  <si>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</si>
  <si>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</si>
  <si>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</si>
  <si>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</si>
  <si>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</si>
  <si>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</si>
  <si>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</si>
  <si>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</si>
  <si>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</si>
  <si>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</si>
  <si>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</si>
  <si>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</si>
  <si>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</si>
  <si>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</si>
  <si>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</si>
  <si>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</si>
  <si>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</si>
  <si>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</si>
  <si>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</si>
  <si>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</si>
  <si>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</si>
  <si>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</si>
  <si>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</si>
  <si>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</si>
  <si>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</si>
  <si>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</si>
  <si>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</si>
  <si>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</si>
  <si>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</si>
  <si>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</si>
  <si>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</si>
  <si>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</si>
  <si>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</si>
  <si>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</si>
  <si>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</si>
  <si>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</si>
  <si>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</si>
  <si>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</si>
  <si>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</si>
  <si>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</si>
  <si>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</si>
  <si>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</si>
  <si>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</si>
  <si>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</si>
  <si>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</si>
  <si>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</si>
  <si>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</si>
  <si>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</si>
  <si>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</si>
  <si>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</si>
  <si>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</si>
  <si>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</si>
  <si>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</si>
  <si>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</si>
  <si>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</si>
  <si>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</si>
  <si>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</si>
  <si>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</si>
  <si>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</si>
  <si>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</si>
  <si>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</si>
  <si>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</si>
  <si>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</si>
  <si>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</si>
  <si>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</si>
  <si>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</si>
  <si>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</si>
  <si>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</si>
  <si>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</si>
  <si>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</si>
  <si>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</si>
  <si>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</si>
  <si>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</si>
  <si>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</si>
  <si>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</si>
  <si>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</si>
  <si>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</si>
  <si>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</si>
  <si>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</si>
  <si>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</si>
  <si>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</si>
  <si>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</si>
  <si>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</si>
  <si>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</si>
  <si>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</si>
  <si>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</si>
  <si>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</si>
  <si>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</si>
  <si>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</si>
  <si>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</si>
  <si>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</si>
  <si>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</si>
  <si>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</si>
  <si>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</si>
  <si>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</si>
  <si>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</si>
  <si>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</si>
  <si>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</si>
  <si>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</si>
  <si>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</si>
  <si>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</si>
  <si>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</si>
  <si>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</si>
  <si>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</si>
  <si>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</si>
  <si>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</si>
  <si>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</si>
  <si>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</si>
  <si>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</si>
  <si>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</si>
  <si>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</si>
  <si>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</si>
  <si>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</si>
  <si>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</si>
  <si>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</si>
  <si>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</si>
  <si>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</si>
  <si>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</si>
  <si>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</si>
  <si>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</si>
  <si>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</si>
  <si>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</si>
  <si>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</si>
  <si>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</si>
  <si>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</si>
  <si>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</si>
  <si>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</si>
  <si>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</si>
  <si>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</si>
  <si>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</si>
  <si>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</si>
  <si>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</si>
  <si>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</si>
  <si>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</si>
  <si>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</si>
  <si>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</si>
  <si>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</si>
  <si>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</si>
  <si>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</si>
  <si>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</si>
  <si>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</si>
  <si>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</si>
  <si>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</si>
  <si>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</si>
  <si>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</si>
  <si>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</si>
  <si>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</si>
  <si>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</si>
  <si>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</si>
  <si>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</si>
  <si>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</si>
  <si>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</si>
  <si>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</si>
  <si>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</si>
  <si>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</si>
  <si>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</si>
  <si>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</si>
  <si>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</si>
  <si>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</si>
  <si>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</si>
  <si>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</si>
  <si>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</si>
  <si>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</si>
  <si>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</si>
  <si>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</si>
  <si>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</si>
  <si>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</si>
  <si>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</si>
  <si>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</si>
  <si>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</si>
  <si>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</si>
  <si>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</si>
  <si>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</si>
  <si>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</si>
  <si>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</si>
  <si>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</si>
  <si>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</si>
  <si>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</si>
  <si>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</si>
  <si>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</si>
  <si>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</si>
  <si>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</si>
  <si>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</si>
  <si>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</si>
  <si>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</si>
  <si>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</si>
  <si>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</si>
  <si>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</si>
  <si>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</si>
  <si>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</si>
  <si>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</si>
  <si>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</si>
  <si>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</si>
  <si>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</si>
  <si>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</si>
  <si>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</si>
  <si>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</si>
  <si>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</si>
  <si>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</si>
  <si>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</si>
  <si>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</si>
  <si>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</si>
  <si>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</si>
  <si>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</si>
  <si>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</si>
  <si>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</si>
  <si>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</si>
  <si>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</si>
  <si>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</si>
  <si>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</si>
  <si>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</si>
  <si>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</si>
  <si>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</si>
  <si>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</si>
  <si>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</si>
  <si>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</si>
  <si>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</si>
  <si>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</si>
  <si>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</si>
  <si>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</si>
  <si>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</si>
  <si>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</si>
  <si>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</si>
  <si>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</si>
  <si>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</si>
  <si>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</si>
  <si>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</si>
  <si>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</si>
  <si>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</si>
  <si>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</si>
  <si>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</si>
  <si>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</si>
  <si>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</si>
  <si>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</si>
  <si>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</si>
  <si>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</si>
  <si>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</si>
  <si>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</si>
  <si>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</si>
  <si>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</si>
  <si>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</si>
  <si>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</si>
  <si>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</si>
  <si>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</si>
  <si>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</si>
  <si>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</si>
  <si>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</si>
  <si>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</si>
  <si>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</si>
  <si>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</si>
  <si>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</si>
  <si>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</si>
  <si>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</si>
  <si>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</si>
  <si>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</si>
  <si>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</si>
  <si>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</si>
  <si>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</si>
  <si>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</si>
  <si>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</si>
  <si>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</si>
  <si>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</si>
  <si>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</si>
  <si>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</si>
  <si>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</si>
  <si>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</si>
  <si>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</si>
  <si>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</si>
  <si>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</si>
  <si>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</si>
  <si>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</si>
  <si>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</si>
  <si>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</si>
  <si>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</si>
  <si>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</si>
  <si>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</si>
  <si>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</si>
  <si>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</si>
  <si>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</si>
  <si>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</si>
  <si>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</si>
  <si>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</si>
  <si>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</si>
  <si>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</si>
  <si>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</si>
  <si>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</si>
  <si>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</si>
  <si>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</si>
  <si>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</si>
  <si>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</si>
  <si>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</si>
  <si>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</si>
  <si>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</si>
  <si>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</si>
  <si>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</si>
  <si>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</si>
  <si>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</si>
  <si>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</si>
  <si>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</si>
  <si>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</si>
  <si>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</si>
  <si>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</si>
  <si>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</si>
  <si>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</si>
  <si>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</si>
  <si>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</si>
  <si>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</si>
  <si>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</si>
  <si>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</si>
  <si>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</si>
  <si>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</si>
  <si>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</si>
  <si>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</si>
  <si>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</si>
  <si>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</si>
  <si>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</si>
  <si>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</si>
  <si>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</si>
  <si>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</si>
  <si>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</si>
  <si>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</si>
  <si>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</si>
  <si>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</si>
  <si>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</si>
  <si>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</si>
  <si>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</si>
  <si>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</si>
  <si>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</si>
  <si>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</si>
  <si>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</si>
  <si>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</si>
  <si>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</si>
  <si>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</si>
  <si>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</si>
  <si>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</si>
  <si>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</si>
  <si>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</si>
  <si>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</si>
  <si>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</si>
  <si>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</si>
  <si>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</si>
  <si>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</si>
  <si>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</si>
  <si>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</si>
  <si>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</si>
  <si>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</si>
  <si>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</si>
  <si>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</si>
  <si>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</si>
  <si>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</si>
  <si>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</si>
  <si>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</si>
  <si>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</si>
  <si>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</si>
  <si>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</si>
  <si>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</si>
  <si>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</si>
  <si>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</si>
  <si>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</si>
  <si>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</si>
  <si>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</si>
  <si>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</si>
  <si>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</si>
  <si>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</si>
  <si>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</si>
  <si>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</si>
  <si>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</si>
  <si>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</si>
  <si>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</si>
  <si>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</si>
  <si>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</si>
  <si>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</si>
  <si>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</si>
  <si>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</si>
  <si>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</si>
  <si>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</si>
  <si>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</si>
  <si>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</si>
  <si>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</si>
  <si>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</si>
  <si>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</si>
  <si>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</si>
  <si>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</si>
  <si>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</si>
  <si>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</si>
  <si>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</si>
  <si>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</si>
  <si>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</si>
  <si>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</si>
  <si>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</si>
  <si>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</si>
  <si>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</si>
  <si>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</si>
  <si>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</si>
  <si>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</si>
  <si>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</si>
  <si>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</si>
  <si>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</si>
  <si>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</si>
  <si>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</si>
  <si>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</si>
  <si>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</si>
  <si>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</si>
  <si>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</si>
  <si>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</si>
  <si>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</si>
  <si>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</si>
  <si>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</si>
  <si>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</si>
  <si>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</si>
  <si>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</si>
  <si>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</si>
  <si>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</si>
  <si>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</si>
  <si>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</si>
  <si>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</si>
  <si>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</si>
  <si>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</si>
  <si>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</si>
  <si>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</si>
  <si>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</si>
  <si>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</si>
  <si>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</si>
  <si>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</si>
  <si>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</si>
  <si>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</si>
  <si>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</si>
  <si>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</si>
  <si>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</si>
  <si>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</si>
  <si>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</si>
  <si>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</si>
  <si>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</si>
  <si>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</si>
  <si>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</si>
  <si>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</si>
  <si>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</si>
  <si>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</si>
  <si>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</si>
  <si>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</si>
  <si>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</si>
  <si>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</si>
  <si>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</si>
  <si>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</si>
  <si>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</si>
  <si>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</si>
  <si>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</si>
  <si>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</si>
  <si>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</si>
  <si>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</si>
  <si>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</si>
  <si>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</si>
  <si>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</si>
  <si>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</si>
  <si>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</si>
  <si>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</si>
  <si>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</si>
  <si>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</si>
  <si>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</si>
  <si>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</si>
  <si>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</si>
  <si>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</si>
  <si>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</si>
  <si>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</si>
  <si>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</si>
  <si>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</si>
  <si>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</si>
  <si>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</si>
  <si>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</si>
  <si>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</si>
  <si>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</si>
  <si>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</si>
  <si>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</si>
  <si>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</si>
  <si>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</si>
  <si>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</si>
  <si>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</si>
  <si>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</si>
  <si>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</si>
  <si>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</si>
  <si>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</si>
  <si>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</si>
  <si>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</si>
  <si>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</si>
  <si>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</si>
  <si>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</si>
  <si>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</si>
  <si>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</si>
  <si>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</si>
  <si>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</si>
  <si>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</si>
  <si>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</si>
  <si>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</si>
  <si>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</si>
  <si>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</si>
  <si>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</si>
  <si>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</si>
  <si>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</si>
  <si>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</si>
  <si>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</si>
  <si>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</si>
  <si>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</si>
  <si>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</si>
  <si>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</si>
  <si>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</si>
  <si>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</si>
  <si>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</si>
  <si>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</si>
  <si>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</si>
  <si>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</si>
  <si>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</si>
  <si>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</si>
  <si>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</si>
  <si>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</si>
  <si>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</si>
  <si>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</si>
  <si>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</si>
  <si>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</si>
  <si>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</si>
  <si>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</si>
  <si>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</si>
  <si>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</si>
  <si>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</si>
  <si>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</si>
  <si>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</si>
  <si>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</si>
  <si>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</si>
  <si>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</si>
  <si>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</si>
  <si>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</si>
  <si>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</si>
  <si>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</si>
  <si>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</si>
  <si>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</si>
  <si>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</si>
  <si>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</si>
  <si>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</si>
  <si>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</si>
  <si>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</si>
  <si>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</si>
  <si>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</si>
  <si>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</si>
  <si>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</si>
  <si>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</si>
  <si>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</si>
  <si>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</si>
  <si>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</si>
  <si>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</si>
  <si>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</si>
  <si>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</si>
  <si>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</si>
  <si>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</si>
  <si>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</si>
  <si>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</si>
  <si>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</si>
  <si>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</si>
  <si>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</si>
  <si>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</si>
  <si>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</si>
  <si>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</si>
  <si>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</si>
  <si>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</si>
  <si>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</si>
  <si>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</si>
  <si>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</si>
  <si>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</si>
  <si>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</si>
  <si>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</si>
  <si>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</si>
  <si>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</si>
  <si>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</si>
  <si>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</si>
  <si>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</si>
  <si>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</si>
  <si>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</si>
  <si>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</si>
  <si>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</si>
  <si>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</si>
  <si>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</si>
  <si>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</si>
  <si>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</si>
  <si>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</si>
  <si>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</si>
  <si>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</si>
  <si>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</si>
  <si>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</si>
  <si>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</si>
  <si>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</si>
  <si>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</si>
  <si>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</si>
  <si>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</si>
  <si>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</si>
  <si>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</si>
  <si>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</si>
  <si>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</si>
  <si>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</si>
  <si>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</si>
  <si>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</si>
  <si>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</si>
  <si>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</si>
  <si>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</si>
  <si>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</si>
  <si>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</si>
  <si>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</si>
  <si>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</si>
  <si>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</si>
  <si>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</si>
  <si>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</si>
  <si>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</si>
  <si>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</si>
  <si>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</si>
  <si>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</si>
  <si>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</si>
  <si>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</si>
  <si>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</si>
  <si>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</si>
  <si>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</si>
  <si>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</si>
  <si>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</si>
  <si>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</si>
  <si>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</si>
  <si>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</si>
  <si>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</si>
  <si>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</si>
  <si>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</si>
  <si>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</si>
  <si>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</si>
  <si>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</si>
  <si>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</si>
  <si>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</si>
  <si>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</si>
  <si>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</si>
  <si>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</si>
  <si>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</si>
  <si>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</si>
  <si>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</si>
  <si>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</si>
  <si>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</si>
  <si>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</si>
  <si>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</si>
  <si>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</si>
  <si>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</si>
  <si>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</si>
  <si>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</si>
  <si>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</si>
  <si>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</si>
  <si>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</si>
  <si>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</si>
  <si>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</si>
  <si>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</si>
  <si>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</si>
  <si>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</si>
  <si>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</si>
  <si>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</si>
  <si>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</si>
  <si>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</si>
  <si>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</si>
  <si>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</si>
  <si>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</si>
  <si>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</si>
  <si>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</si>
  <si>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</si>
  <si>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</si>
  <si>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</si>
  <si>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</si>
  <si>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</si>
  <si>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</si>
  <si>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</si>
  <si>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</si>
  <si>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</si>
  <si>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</si>
  <si>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</si>
  <si>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</si>
  <si>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</si>
  <si>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</si>
  <si>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</si>
  <si>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</si>
  <si>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</si>
  <si>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</si>
  <si>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</si>
  <si>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</si>
  <si>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</si>
  <si>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</si>
  <si>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</si>
  <si>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</si>
  <si>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</si>
  <si>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</si>
  <si>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</si>
  <si>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</si>
  <si>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</si>
  <si>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</si>
  <si>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</si>
  <si>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</si>
  <si>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</si>
  <si>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</si>
  <si>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</si>
  <si>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</si>
  <si>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</si>
  <si>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</si>
  <si>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</si>
  <si>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</si>
  <si>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</si>
  <si>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</si>
  <si>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</si>
  <si>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</si>
  <si>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</si>
  <si>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</si>
  <si>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</si>
  <si>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</si>
  <si>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</si>
  <si>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</si>
  <si>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</si>
  <si>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</si>
  <si>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</si>
  <si>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</si>
  <si>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</si>
  <si>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</si>
  <si>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</si>
  <si>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</si>
  <si>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</si>
  <si>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</si>
  <si>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</si>
  <si>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</si>
  <si>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</si>
  <si>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</si>
  <si>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</si>
  <si>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</si>
  <si>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</si>
  <si>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</si>
  <si>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</si>
  <si>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</si>
  <si>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</si>
  <si>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</si>
  <si>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</si>
  <si>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</si>
  <si>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</si>
  <si>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</si>
  <si>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</si>
  <si>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</si>
  <si>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</si>
  <si>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</si>
  <si>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</si>
  <si>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</si>
  <si>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</si>
  <si>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</si>
  <si>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</si>
  <si>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</si>
  <si>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</si>
  <si>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</si>
  <si>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</si>
  <si>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</si>
  <si>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</si>
  <si>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</si>
  <si>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</si>
  <si>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</si>
  <si>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</si>
  <si>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</si>
  <si>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</si>
  <si>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</si>
  <si>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</si>
  <si>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</si>
  <si>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</si>
  <si>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</si>
  <si>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</si>
  <si>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</si>
  <si>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</si>
  <si>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</si>
  <si>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</si>
  <si>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</si>
  <si>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</si>
  <si>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</si>
  <si>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</si>
  <si>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</si>
  <si>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</si>
  <si>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</si>
  <si>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</si>
  <si>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</si>
  <si>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</si>
  <si>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</si>
  <si>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</si>
  <si>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</si>
  <si>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</si>
  <si>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</si>
  <si>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</si>
  <si>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</si>
  <si>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</si>
  <si>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</si>
  <si>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</si>
  <si>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</si>
  <si>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</si>
  <si>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</si>
  <si>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</si>
  <si>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</si>
  <si>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</si>
  <si>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</si>
  <si>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</si>
  <si>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</si>
  <si>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</si>
  <si>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</si>
  <si>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</si>
  <si>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</si>
  <si>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</si>
  <si>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</si>
  <si>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</si>
  <si>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</si>
  <si>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</si>
  <si>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</si>
  <si>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</si>
  <si>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</si>
  <si>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</si>
  <si>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</si>
  <si>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</si>
  <si>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</si>
  <si>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</si>
  <si>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</si>
  <si>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</si>
  <si>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</si>
  <si>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</si>
  <si>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</si>
  <si>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</si>
  <si>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</si>
  <si>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</si>
  <si>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</si>
  <si>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</si>
  <si>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</si>
  <si>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</si>
  <si>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</si>
  <si>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</si>
  <si>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</si>
  <si>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</si>
  <si>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</si>
  <si>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</si>
  <si>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</si>
  <si>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</si>
  <si>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</si>
  <si>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</si>
  <si>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</si>
  <si>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</si>
  <si>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</si>
  <si>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</si>
  <si>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</si>
  <si>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</si>
  <si>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</si>
  <si>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</si>
  <si>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</si>
  <si>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</si>
  <si>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</si>
  <si>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</si>
  <si>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</si>
  <si>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</si>
  <si>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</si>
  <si>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</si>
  <si>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</si>
  <si>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</si>
  <si>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</si>
  <si>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</si>
  <si>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</si>
  <si>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</si>
  <si>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</si>
  <si>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</si>
  <si>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</si>
  <si>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</si>
  <si>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</si>
  <si>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</si>
  <si>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</si>
  <si>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</si>
  <si>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</si>
  <si>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</si>
  <si>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</si>
  <si>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</si>
  <si>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</si>
  <si>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</si>
  <si>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</si>
  <si>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</si>
  <si>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</si>
  <si>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</si>
  <si>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</si>
  <si>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</si>
  <si>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</si>
  <si>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</si>
  <si>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</si>
  <si>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</si>
  <si>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</si>
  <si>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</si>
  <si>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</si>
  <si>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</si>
  <si>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</si>
  <si>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</si>
  <si>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</si>
  <si>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</si>
  <si>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</si>
  <si>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</si>
  <si>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</si>
  <si>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</si>
  <si>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</si>
  <si>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</si>
  <si>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</si>
  <si>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</si>
  <si>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</si>
  <si>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</si>
  <si>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</si>
  <si>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</si>
  <si>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</si>
  <si>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</si>
  <si>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</si>
  <si>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</si>
  <si>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</si>
  <si>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</si>
  <si>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</si>
  <si>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</si>
  <si>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</si>
  <si>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</si>
  <si>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</si>
  <si>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</si>
  <si>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</si>
  <si>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</si>
  <si>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</si>
  <si>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</si>
  <si>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</si>
  <si>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</si>
  <si>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</si>
  <si>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</si>
  <si>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</si>
  <si>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</si>
  <si>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</si>
  <si>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</si>
  <si>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</si>
  <si>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</si>
  <si>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</si>
  <si>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</si>
  <si>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</si>
  <si>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</si>
  <si>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</si>
  <si>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</si>
  <si>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</si>
  <si>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</si>
  <si>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</si>
  <si>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</si>
  <si>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</si>
  <si>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</si>
  <si>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</si>
  <si>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</si>
  <si>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</si>
  <si>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</si>
  <si>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</si>
  <si>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</si>
  <si>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</si>
  <si>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</si>
  <si>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</si>
  <si>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</si>
  <si>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</si>
  <si>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</si>
  <si>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</si>
  <si>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</si>
  <si>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</si>
  <si>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</si>
  <si>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</si>
  <si>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</si>
  <si>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</si>
  <si>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</si>
  <si>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</si>
  <si>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</si>
  <si>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</si>
  <si>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</si>
  <si>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</si>
  <si>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</si>
  <si>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</si>
  <si>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</si>
  <si>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</si>
  <si>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</si>
  <si>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</si>
  <si>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</si>
  <si>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</si>
  <si>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</si>
  <si>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</si>
  <si>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</si>
  <si>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</si>
  <si>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</si>
  <si>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</si>
  <si>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</si>
  <si>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</si>
  <si>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</si>
  <si>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</si>
  <si>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</si>
  <si>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</si>
  <si>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</si>
  <si>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</si>
  <si>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</si>
  <si>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</si>
  <si>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</si>
  <si>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</si>
  <si>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</si>
  <si>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</si>
  <si>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</si>
  <si>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</si>
  <si>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</si>
  <si>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</si>
  <si>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</si>
  <si>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</si>
  <si>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</si>
  <si>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</si>
  <si>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</si>
  <si>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</si>
  <si>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</si>
  <si>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</si>
  <si>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</si>
  <si>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</si>
  <si>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</si>
  <si>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</si>
  <si>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</si>
  <si>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</si>
  <si>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</si>
  <si>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</si>
  <si>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</si>
  <si>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</si>
  <si>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</si>
  <si>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</si>
  <si>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</si>
  <si>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</si>
  <si>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</si>
  <si>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</si>
  <si>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</si>
  <si>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</si>
  <si>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</si>
  <si>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</si>
  <si>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</si>
  <si>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</si>
  <si>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</si>
  <si>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</si>
  <si>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</si>
  <si>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</si>
  <si>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</si>
  <si>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</si>
  <si>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</si>
  <si>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</si>
  <si>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</si>
  <si>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</si>
  <si>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</si>
  <si>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</si>
  <si>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</si>
  <si>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</si>
  <si>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</si>
  <si>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</si>
  <si>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</si>
  <si>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</si>
  <si>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</si>
  <si>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</si>
  <si>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</si>
  <si>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</si>
  <si>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</si>
  <si>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</si>
  <si>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</si>
  <si>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</si>
  <si>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</si>
  <si>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</si>
  <si>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</si>
  <si>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</si>
  <si>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</si>
  <si>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</si>
  <si>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</si>
  <si>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</si>
  <si>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</si>
  <si>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</si>
  <si>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</si>
  <si>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</si>
  <si>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</si>
  <si>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</si>
  <si>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</si>
  <si>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</si>
  <si>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</si>
  <si>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</si>
  <si>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</si>
  <si>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</si>
  <si>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</si>
  <si>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</si>
  <si>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</si>
  <si>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</si>
  <si>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</si>
  <si>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</si>
  <si>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</si>
  <si>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</si>
  <si>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</si>
  <si>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</si>
  <si>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</si>
  <si>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</si>
  <si>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</si>
  <si>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</si>
  <si>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</si>
  <si>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</si>
  <si>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</si>
  <si>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</si>
  <si>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</si>
  <si>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</si>
  <si>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</si>
  <si>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</si>
  <si>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</si>
  <si>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</si>
  <si>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</si>
  <si>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</si>
  <si>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</si>
  <si>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</si>
  <si>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</si>
  <si>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</si>
  <si>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</si>
  <si>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</si>
  <si>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</si>
  <si>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</si>
  <si>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</si>
  <si>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</si>
  <si>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</si>
  <si>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</si>
  <si>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</si>
  <si>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</si>
  <si>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</si>
  <si>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</si>
  <si>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</si>
  <si>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</si>
  <si>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</si>
  <si>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</si>
  <si>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</si>
  <si>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</si>
  <si>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</si>
  <si>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</si>
  <si>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</si>
  <si>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</si>
  <si>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</si>
  <si>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</si>
  <si>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</si>
  <si>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</si>
  <si>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</si>
  <si>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</si>
  <si>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</si>
  <si>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</si>
  <si>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</si>
  <si>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</si>
  <si>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</si>
  <si>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</si>
  <si>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</si>
  <si>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</si>
  <si>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</si>
  <si>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</si>
  <si>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</si>
  <si>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</si>
  <si>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</si>
  <si>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</si>
  <si>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</si>
  <si>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</si>
  <si>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</si>
  <si>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</si>
  <si>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</si>
  <si>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</si>
  <si>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</si>
  <si>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</si>
  <si>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</si>
  <si>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</si>
  <si>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</si>
  <si>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</si>
  <si>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</si>
  <si>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</si>
  <si>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</si>
  <si>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</si>
  <si>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</si>
  <si>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</si>
  <si>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</si>
  <si>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</si>
  <si>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</si>
  <si>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</si>
  <si>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</si>
  <si>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</si>
  <si>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</si>
  <si>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</si>
  <si>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</si>
  <si>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</si>
  <si>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</si>
  <si>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</si>
  <si>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</si>
  <si>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</si>
  <si>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</si>
  <si>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</si>
  <si>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</si>
  <si>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</si>
  <si>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</si>
  <si>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</si>
  <si>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</si>
  <si>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</si>
  <si>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</si>
  <si>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</si>
  <si>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</si>
  <si>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</si>
  <si>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</si>
  <si>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</si>
  <si>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</si>
  <si>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</si>
  <si>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</si>
  <si>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</si>
  <si>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</si>
  <si>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</si>
  <si>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</si>
  <si>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</si>
  <si>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</si>
  <si>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</si>
  <si>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</si>
  <si>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</si>
  <si>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</si>
  <si>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</si>
  <si>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</si>
  <si>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</si>
  <si>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</si>
  <si>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</si>
  <si>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</si>
  <si>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</si>
  <si>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</si>
  <si>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</si>
  <si>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</si>
  <si>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</si>
  <si>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</si>
  <si>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</si>
  <si>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</si>
  <si>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</si>
  <si>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</si>
  <si>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</si>
  <si>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</si>
  <si>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</si>
  <si>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</si>
  <si>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</si>
  <si>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</si>
  <si>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</si>
  <si>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</si>
  <si>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</si>
  <si>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</si>
  <si>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</si>
  <si>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</si>
  <si>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</si>
  <si>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</si>
  <si>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</si>
  <si>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</si>
  <si>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</si>
  <si>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</si>
  <si>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</si>
  <si>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</si>
  <si>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</si>
  <si>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</si>
  <si>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</si>
  <si>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</si>
  <si>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</si>
  <si>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</si>
  <si>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</si>
  <si>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</si>
  <si>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</si>
  <si>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</si>
  <si>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</si>
  <si>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</si>
  <si>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</si>
  <si>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</si>
  <si>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</si>
  <si>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</si>
  <si>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</si>
  <si>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</si>
  <si>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</si>
  <si>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</si>
  <si>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</si>
  <si>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</si>
  <si>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</si>
  <si>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</si>
  <si>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</si>
  <si>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</si>
  <si>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</si>
  <si>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</si>
  <si>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</si>
  <si>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</si>
  <si>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</si>
  <si>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</si>
  <si>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</si>
  <si>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</si>
  <si>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</si>
  <si>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</si>
  <si>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</si>
  <si>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</si>
  <si>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</si>
  <si>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</si>
  <si>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</si>
  <si>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</si>
  <si>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</si>
  <si>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</si>
  <si>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</si>
  <si>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</si>
  <si>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</si>
  <si>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</si>
  <si>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</si>
  <si>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</si>
  <si>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</si>
  <si>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</si>
  <si>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</si>
  <si>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</si>
  <si>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</si>
  <si>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</si>
  <si>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</si>
  <si>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</si>
  <si>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</si>
  <si>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</si>
  <si>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</si>
  <si>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</si>
  <si>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</si>
  <si>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</si>
  <si>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</si>
  <si>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</si>
  <si>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</si>
  <si>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</si>
  <si>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</si>
  <si>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</si>
  <si>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</si>
  <si>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</si>
  <si>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</si>
  <si>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</si>
  <si>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</si>
  <si>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</si>
  <si>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</si>
  <si>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</si>
  <si>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</si>
  <si>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</si>
  <si>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</si>
  <si>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</si>
  <si>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</si>
  <si>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</si>
  <si>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</si>
  <si>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</si>
  <si>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</si>
  <si>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</si>
  <si>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</si>
  <si>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</si>
  <si>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</si>
  <si>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</si>
  <si>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</si>
  <si>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</si>
  <si>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</si>
  <si>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</si>
  <si>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</si>
  <si>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</si>
  <si>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</si>
  <si>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</si>
  <si>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</si>
  <si>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</si>
  <si>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</si>
  <si>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</si>
  <si>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</si>
  <si>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</si>
  <si>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</si>
  <si>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</si>
  <si>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</si>
  <si>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</si>
  <si>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</si>
  <si>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</si>
  <si>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</si>
  <si>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</si>
  <si>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</si>
  <si>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</si>
  <si>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</si>
  <si>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</si>
  <si>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</si>
  <si>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</si>
  <si>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</si>
  <si>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</si>
  <si>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</si>
  <si>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</si>
  <si>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</si>
  <si>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</si>
  <si>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</si>
  <si>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</si>
  <si>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</si>
  <si>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</si>
  <si>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</si>
  <si>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</si>
  <si>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</si>
  <si>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</si>
  <si>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</si>
  <si>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</si>
  <si>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</si>
  <si>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</si>
  <si>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</si>
  <si>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</si>
  <si>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</si>
  <si>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</si>
  <si>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</si>
  <si>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</si>
  <si>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</si>
  <si>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</si>
  <si>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</si>
  <si>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</si>
  <si>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</si>
  <si>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</si>
  <si>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</si>
  <si>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</si>
  <si>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</si>
  <si>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</si>
  <si>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</si>
  <si>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</si>
  <si>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</si>
  <si>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</si>
  <si>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</si>
  <si>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</si>
  <si>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</si>
  <si>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</si>
  <si>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</si>
  <si>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</si>
  <si>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</si>
  <si>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</si>
  <si>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</si>
  <si>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</si>
  <si>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</si>
  <si>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</si>
  <si>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</si>
  <si>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</si>
  <si>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</si>
  <si>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</si>
  <si>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</si>
  <si>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</si>
  <si>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</si>
  <si>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</si>
  <si>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</si>
  <si>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</si>
  <si>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</si>
  <si>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</si>
  <si>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</si>
  <si>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</si>
  <si>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</si>
  <si>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</si>
  <si>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</si>
  <si>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</si>
  <si>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</si>
  <si>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</si>
  <si>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</si>
  <si>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</si>
  <si>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</si>
  <si>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</si>
  <si>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</si>
  <si>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</si>
  <si>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</si>
  <si>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</si>
  <si>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</si>
  <si>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</si>
  <si>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</si>
  <si>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</si>
  <si>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</si>
  <si>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</si>
  <si>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</si>
  <si>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</si>
  <si>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</si>
  <si>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</si>
  <si>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</si>
  <si>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</si>
  <si>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</si>
  <si>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</si>
  <si>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</si>
  <si>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</si>
  <si>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</si>
  <si>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</si>
  <si>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</si>
  <si>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</si>
  <si>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</si>
  <si>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</si>
  <si>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</si>
  <si>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</si>
  <si>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</si>
  <si>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</si>
  <si>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</si>
  <si>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</si>
  <si>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</si>
  <si>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</si>
  <si>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</si>
  <si>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</si>
  <si>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</si>
  <si>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</si>
  <si>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</si>
  <si>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</si>
  <si>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</si>
  <si>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</si>
  <si>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</si>
  <si>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</si>
  <si>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</si>
  <si>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</si>
  <si>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</si>
  <si>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</si>
  <si>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</si>
  <si>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</si>
  <si>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</si>
  <si>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</si>
  <si>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</si>
  <si>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</si>
  <si>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</si>
  <si>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</si>
  <si>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</si>
  <si>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</si>
  <si>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</si>
  <si>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</si>
  <si>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</si>
  <si>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</si>
  <si>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</si>
  <si>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</si>
  <si>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</si>
  <si>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</si>
  <si>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</si>
  <si>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</si>
  <si>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</si>
  <si>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</si>
  <si>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</si>
  <si>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</si>
  <si>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</si>
  <si>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</si>
  <si>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</si>
  <si>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</si>
  <si>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</si>
  <si>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</si>
  <si>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</si>
  <si>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</si>
  <si>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</si>
  <si>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</si>
  <si>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</si>
  <si>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</si>
  <si>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</si>
  <si>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</si>
  <si>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</si>
  <si>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</si>
  <si>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</si>
  <si>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</si>
  <si>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</si>
  <si>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</si>
  <si>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</si>
  <si>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</si>
  <si>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</si>
  <si>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</si>
  <si>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</si>
  <si>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</si>
  <si>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</si>
  <si>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</si>
  <si>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</si>
  <si>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</si>
  <si>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</si>
  <si>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</si>
  <si>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</si>
  <si>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</si>
  <si>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</si>
  <si>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</si>
  <si>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</si>
  <si>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</si>
  <si>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</si>
  <si>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</si>
  <si>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</si>
  <si>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</si>
  <si>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</si>
  <si>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</si>
  <si>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</si>
  <si>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</si>
  <si>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</si>
  <si>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</si>
  <si>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</si>
  <si>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</si>
  <si>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</si>
  <si>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</si>
  <si>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</si>
  <si>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</si>
  <si>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</si>
  <si>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</si>
  <si>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</si>
  <si>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</si>
  <si>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</si>
  <si>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</si>
  <si>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</si>
  <si>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</si>
  <si>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</si>
  <si>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</si>
  <si>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</si>
  <si>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</si>
  <si>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</si>
  <si>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</si>
  <si>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</si>
  <si>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</si>
  <si>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</si>
  <si>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</si>
  <si>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</si>
  <si>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</si>
  <si>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</si>
  <si>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</si>
  <si>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</si>
  <si>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</si>
  <si>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</si>
  <si>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</si>
  <si>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</si>
  <si>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</si>
  <si>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</si>
  <si>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</si>
  <si>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</si>
  <si>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</si>
  <si>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</si>
  <si>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</si>
  <si>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</si>
  <si>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</si>
  <si>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</si>
  <si>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</si>
  <si>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</si>
  <si>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</si>
  <si>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</si>
  <si>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</si>
  <si>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</si>
  <si>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</si>
  <si>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</si>
  <si>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</si>
  <si>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</si>
  <si>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</si>
  <si>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</si>
  <si>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</si>
  <si>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</si>
  <si>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</si>
  <si>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</si>
  <si>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</si>
  <si>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</si>
  <si>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</si>
  <si>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</si>
  <si>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</si>
  <si>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</si>
  <si>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</si>
  <si>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</si>
  <si>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</si>
  <si>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</si>
  <si>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</si>
  <si>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</si>
  <si>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</si>
  <si>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</si>
  <si>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</si>
  <si>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</si>
  <si>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</si>
  <si>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</si>
  <si>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</si>
  <si>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</si>
  <si>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</si>
  <si>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</si>
  <si>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</si>
  <si>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</si>
  <si>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</si>
  <si>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</si>
  <si>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</si>
  <si>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</si>
  <si>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</si>
  <si>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</si>
  <si>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</si>
  <si>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</si>
  <si>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</si>
  <si>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</si>
  <si>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</si>
  <si>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</si>
  <si>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</si>
  <si>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</si>
  <si>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</si>
  <si>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</si>
  <si>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</si>
  <si>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</si>
  <si>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</si>
  <si>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</si>
  <si>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</si>
  <si>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</si>
  <si>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</si>
  <si>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</si>
  <si>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</si>
  <si>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</si>
  <si>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</si>
  <si>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</si>
  <si>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</si>
  <si>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</si>
  <si>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</si>
  <si>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</si>
  <si>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</si>
  <si>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</si>
  <si>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</si>
  <si>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</si>
  <si>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</si>
  <si>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</si>
  <si>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</si>
  <si>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</si>
  <si>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</si>
  <si>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</si>
  <si>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</si>
  <si>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</si>
  <si>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</si>
  <si>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</si>
  <si>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</si>
  <si>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</si>
  <si>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</si>
  <si>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</si>
  <si>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</si>
  <si>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</si>
  <si>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</si>
  <si>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</si>
  <si>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</si>
  <si>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</si>
  <si>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</si>
  <si>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</si>
  <si>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</si>
  <si>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</si>
  <si>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</si>
  <si>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</si>
  <si>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</si>
  <si>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</si>
  <si>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</si>
  <si>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</si>
  <si>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</si>
  <si>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</si>
  <si>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</si>
  <si>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</si>
  <si>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</si>
  <si>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</si>
  <si>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</si>
  <si>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</si>
  <si>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</si>
  <si>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</si>
  <si>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</si>
  <si>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</si>
  <si>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</si>
  <si>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</si>
  <si>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</si>
  <si>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</si>
  <si>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</si>
  <si>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</si>
  <si>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</si>
  <si>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</si>
  <si>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</si>
  <si>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</si>
  <si>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</si>
  <si>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</si>
  <si>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</si>
  <si>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</si>
  <si>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</si>
  <si>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</si>
  <si>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</si>
  <si>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</si>
  <si>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</si>
  <si>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</si>
  <si>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</si>
  <si>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</si>
  <si>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</si>
  <si>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</si>
  <si>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</si>
  <si>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</si>
  <si>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</si>
  <si>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</si>
  <si>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</si>
  <si>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</si>
  <si>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</si>
  <si>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</si>
  <si>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</si>
  <si>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</si>
  <si>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</si>
  <si>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</si>
  <si>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</si>
  <si>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</si>
  <si>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</si>
  <si>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</si>
  <si>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</si>
  <si>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</si>
  <si>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</si>
  <si>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</si>
  <si>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</si>
  <si>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</si>
  <si>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</si>
  <si>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</si>
  <si>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</si>
  <si>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</si>
  <si>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</si>
  <si>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</si>
  <si>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</si>
  <si>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</si>
  <si>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</si>
  <si>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</si>
  <si>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</si>
  <si>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</si>
  <si>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</si>
  <si>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</si>
  <si>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</si>
  <si>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</si>
  <si>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</si>
  <si>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</si>
  <si>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</si>
  <si>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</si>
  <si>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</si>
  <si>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</si>
  <si>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</si>
  <si>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</si>
  <si>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</si>
  <si>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</si>
  <si>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</si>
  <si>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</si>
  <si>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</si>
  <si>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</si>
  <si>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</si>
  <si>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</si>
  <si>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</si>
  <si>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</si>
  <si>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</si>
  <si>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</si>
  <si>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</si>
  <si>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</si>
  <si>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</si>
  <si>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</si>
  <si>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</si>
  <si>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</si>
  <si>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</si>
  <si>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</si>
  <si>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</si>
  <si>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</si>
  <si>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</si>
  <si>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</si>
  <si>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</si>
  <si>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</si>
  <si>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</si>
  <si>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</si>
  <si>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</si>
  <si>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</si>
  <si>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</si>
  <si>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</si>
  <si>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</si>
  <si>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</si>
  <si>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</si>
  <si>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</si>
  <si>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</si>
  <si>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</si>
  <si>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</si>
  <si>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</si>
  <si>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</si>
  <si>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</si>
  <si>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</si>
  <si>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</si>
  <si>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</si>
  <si>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</si>
  <si>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</si>
  <si>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</si>
  <si>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</si>
  <si>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</si>
  <si>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</si>
  <si>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</si>
  <si>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</si>
  <si>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</si>
  <si>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</si>
  <si>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</si>
  <si>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</si>
  <si>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</si>
  <si>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</si>
  <si>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</si>
  <si>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</si>
  <si>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</si>
  <si>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</si>
  <si>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</si>
  <si>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</si>
  <si>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</si>
  <si>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</si>
  <si>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</si>
  <si>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</si>
  <si>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</si>
  <si>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</si>
  <si>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</si>
  <si>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</si>
  <si>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</si>
  <si>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</si>
  <si>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</si>
  <si>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</si>
  <si>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</si>
  <si>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</si>
  <si>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</si>
  <si>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</si>
  <si>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</si>
  <si>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</si>
  <si>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</si>
  <si>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</si>
  <si>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</si>
  <si>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</si>
  <si>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</si>
  <si>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</si>
  <si>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</si>
  <si>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</si>
  <si>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</si>
  <si>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</si>
  <si>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</si>
  <si>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</si>
  <si>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</si>
  <si>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</si>
  <si>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</si>
  <si>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</si>
  <si>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</si>
  <si>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</si>
  <si>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</si>
  <si>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</si>
  <si>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</si>
  <si>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</si>
  <si>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</si>
  <si>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</si>
  <si>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</si>
  <si>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</si>
  <si>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</si>
  <si>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</si>
  <si>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</si>
  <si>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</si>
  <si>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</si>
  <si>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</si>
  <si>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</si>
  <si>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</si>
  <si>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</si>
  <si>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</si>
  <si>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</si>
  <si>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</si>
  <si>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</si>
  <si>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</si>
  <si>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</si>
  <si>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</si>
  <si>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</si>
  <si>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</si>
  <si>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</si>
  <si>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</si>
  <si>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</si>
  <si>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</si>
  <si>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</si>
  <si>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</si>
  <si>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</si>
  <si>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</si>
  <si>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</si>
  <si>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</si>
  <si>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</si>
  <si>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</si>
  <si>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</si>
  <si>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</si>
  <si>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</si>
  <si>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</si>
  <si>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</si>
  <si>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</si>
  <si>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</si>
  <si>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</si>
  <si>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</si>
  <si>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</si>
  <si>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</si>
  <si>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</si>
  <si>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</si>
  <si>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</si>
  <si>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</si>
  <si>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</si>
  <si>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</si>
  <si>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</si>
  <si>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</si>
  <si>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</si>
  <si>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</si>
  <si>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</si>
  <si>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</si>
  <si>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</si>
  <si>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</si>
  <si>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</si>
  <si>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</si>
  <si>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</si>
  <si>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</si>
  <si>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</si>
  <si>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</si>
  <si>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</si>
  <si>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</si>
  <si>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</si>
  <si>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</si>
  <si>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</si>
  <si>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</si>
  <si>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</si>
  <si>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</si>
  <si>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</si>
  <si>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</si>
  <si>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</si>
  <si>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</si>
  <si>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</si>
  <si>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</si>
  <si>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</si>
  <si>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</si>
  <si>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</si>
  <si>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</si>
  <si>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</si>
  <si>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</si>
  <si>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</si>
  <si>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</si>
  <si>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</si>
  <si>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</si>
  <si>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</si>
  <si>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</si>
  <si>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</si>
  <si>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</si>
  <si>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</si>
  <si>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</si>
  <si>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</si>
  <si>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</si>
  <si>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</si>
  <si>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</si>
  <si>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</si>
  <si>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</si>
  <si>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</si>
  <si>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</si>
  <si>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</si>
  <si>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</si>
  <si>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</si>
  <si>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</si>
  <si>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</si>
  <si>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</si>
  <si>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</si>
  <si>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</si>
  <si>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</si>
  <si>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</si>
  <si>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</si>
  <si>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</si>
  <si>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</si>
  <si>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</si>
  <si>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</si>
  <si>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</si>
  <si>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</si>
  <si>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</si>
  <si>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</si>
  <si>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</si>
  <si>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</si>
  <si>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</si>
  <si>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</si>
  <si>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</si>
  <si>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</si>
  <si>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</si>
  <si>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</si>
  <si>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</si>
  <si>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</si>
  <si>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</si>
  <si>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</si>
  <si>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</si>
  <si>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</si>
  <si>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</si>
  <si>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</si>
  <si>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</si>
  <si>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</si>
  <si>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</si>
  <si>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</si>
  <si>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</si>
  <si>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</si>
  <si>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</si>
  <si>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</si>
  <si>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</si>
  <si>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</si>
  <si>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</si>
  <si>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</si>
  <si>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</si>
  <si>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</si>
  <si>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</si>
  <si>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</si>
  <si>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</si>
  <si>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</si>
  <si>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</si>
  <si>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</si>
  <si>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</si>
  <si>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</si>
  <si>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</si>
  <si>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</si>
  <si>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</si>
  <si>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</si>
  <si>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</si>
  <si>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</si>
  <si>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</si>
  <si>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</si>
  <si>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</si>
  <si>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</si>
  <si>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</si>
  <si>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</si>
  <si>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</si>
  <si>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</si>
  <si>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</si>
  <si>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</si>
  <si>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</si>
  <si>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</si>
  <si>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</si>
  <si>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</si>
  <si>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</si>
  <si>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</si>
  <si>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</si>
  <si>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</si>
  <si>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</si>
  <si>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</si>
  <si>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</si>
  <si>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</si>
  <si>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</si>
  <si>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</si>
  <si>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</si>
  <si>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</si>
  <si>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</si>
  <si>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</si>
  <si>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</si>
  <si>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</si>
  <si>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</si>
  <si>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</si>
  <si>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</si>
  <si>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</si>
  <si>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</si>
  <si>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</si>
  <si>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</si>
  <si>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</si>
  <si>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</si>
  <si>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</si>
  <si>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</si>
  <si>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</si>
  <si>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</si>
  <si>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</si>
  <si>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</si>
  <si>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</si>
  <si>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</si>
  <si>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</si>
  <si>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</si>
  <si>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</si>
  <si>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</si>
  <si>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</si>
  <si>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</si>
  <si>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</si>
  <si>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</si>
  <si>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</si>
  <si>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</si>
  <si>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</si>
  <si>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</si>
  <si>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</si>
  <si>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</si>
  <si>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</si>
  <si>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</si>
  <si>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</si>
  <si>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</si>
  <si>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</si>
  <si>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</si>
  <si>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</si>
  <si>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</si>
  <si>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</si>
  <si>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</si>
  <si>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</si>
  <si>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</si>
  <si>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</si>
  <si>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</si>
  <si>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</si>
  <si>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</si>
  <si>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</si>
  <si>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</si>
  <si>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</si>
  <si>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</si>
  <si>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</si>
  <si>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</si>
  <si>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</si>
  <si>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</si>
  <si>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</si>
  <si>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</si>
  <si>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</si>
  <si>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</si>
  <si>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</si>
  <si>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</si>
  <si>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</si>
  <si>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</si>
  <si>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</si>
  <si>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</si>
  <si>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</si>
  <si>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</si>
  <si>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</si>
  <si>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</si>
  <si>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</si>
  <si>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</si>
  <si>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</si>
  <si>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</si>
  <si>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</si>
  <si>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</si>
  <si>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</si>
  <si>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</si>
  <si>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</si>
  <si>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</si>
  <si>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</si>
  <si>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</si>
  <si>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</si>
  <si>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</si>
  <si>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</si>
  <si>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</si>
  <si>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</si>
  <si>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</si>
  <si>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</si>
  <si>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</si>
  <si>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</si>
  <si>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</si>
  <si>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</si>
  <si>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</si>
  <si>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</si>
  <si>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</si>
  <si>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</si>
  <si>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</si>
  <si>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</si>
  <si>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</si>
  <si>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</si>
  <si>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</si>
  <si>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</si>
  <si>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</si>
  <si>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</si>
  <si>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</si>
  <si>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</si>
  <si>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</si>
  <si>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</si>
  <si>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</si>
  <si>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</si>
  <si>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</si>
  <si>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</si>
  <si>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</si>
  <si>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</si>
  <si>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</si>
  <si>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</si>
  <si>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</si>
  <si>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</si>
  <si>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</si>
  <si>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</si>
  <si>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</si>
  <si>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</si>
  <si>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</si>
  <si>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</si>
  <si>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</si>
  <si>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</si>
  <si>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</si>
  <si>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</si>
  <si>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</si>
  <si>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</si>
  <si>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</si>
  <si>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</si>
  <si>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</si>
  <si>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</si>
  <si>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</si>
  <si>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</si>
  <si>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</si>
  <si>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</si>
  <si>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</si>
  <si>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</si>
  <si>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</si>
  <si>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</si>
  <si>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</si>
  <si>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</si>
  <si>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</si>
  <si>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</si>
  <si>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</si>
  <si>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</si>
  <si>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</si>
  <si>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</si>
  <si>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</si>
  <si>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</si>
  <si>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</si>
  <si>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</si>
  <si>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</si>
  <si>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</si>
  <si>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</si>
  <si>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</si>
  <si>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</si>
  <si>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</si>
  <si>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</si>
  <si>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</si>
  <si>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</si>
  <si>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</si>
  <si>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</si>
  <si>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</si>
  <si>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</si>
  <si>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</si>
  <si>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</si>
  <si>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</si>
  <si>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</si>
  <si>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</si>
  <si>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</si>
  <si>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</si>
  <si>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</si>
  <si>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</si>
  <si>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</si>
  <si>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</si>
  <si>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</si>
  <si>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</si>
  <si>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</si>
  <si>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</si>
  <si>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</si>
  <si>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</si>
  <si>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</si>
  <si>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</si>
  <si>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</si>
  <si>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</si>
  <si>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</si>
  <si>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</si>
  <si>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</si>
  <si>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</si>
  <si>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</si>
  <si>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</si>
  <si>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</si>
  <si>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</si>
  <si>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</si>
  <si>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</si>
  <si>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</si>
  <si>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</si>
  <si>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</si>
  <si>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</si>
  <si>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</si>
  <si>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</si>
  <si>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</si>
  <si>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</si>
  <si>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</si>
  <si>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</si>
  <si>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</si>
  <si>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</si>
  <si>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</si>
  <si>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</si>
  <si>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</si>
  <si>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</si>
  <si>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</si>
  <si>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</si>
  <si>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</si>
  <si>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</si>
  <si>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</si>
  <si>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</si>
  <si>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</si>
  <si>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</si>
  <si>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</si>
  <si>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</si>
  <si>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</si>
  <si>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</si>
  <si>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</si>
  <si>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</si>
  <si>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</si>
  <si>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</si>
  <si>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</si>
  <si>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</si>
  <si>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</si>
  <si>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</si>
  <si>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</si>
  <si>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</si>
  <si>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</si>
  <si>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</si>
  <si>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</si>
  <si>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</si>
  <si>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</si>
  <si>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</si>
  <si>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</si>
  <si>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</si>
  <si>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</si>
  <si>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</si>
  <si>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</si>
  <si>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</si>
  <si>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</si>
  <si>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</si>
  <si>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</si>
  <si>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</si>
  <si>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</si>
  <si>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</si>
  <si>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</si>
  <si>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</si>
  <si>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</si>
  <si>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</si>
  <si>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</si>
  <si>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</si>
  <si>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</si>
  <si>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</si>
  <si>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</si>
  <si>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</si>
  <si>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</si>
  <si>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</si>
  <si>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</si>
  <si>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</si>
  <si>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</si>
  <si>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</si>
  <si>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</si>
  <si>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</si>
  <si>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</si>
  <si>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</si>
  <si>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</si>
  <si>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</si>
  <si>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</si>
  <si>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</si>
  <si>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</si>
  <si>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</si>
  <si>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</si>
  <si>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</si>
  <si>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</si>
  <si>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</si>
  <si>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</si>
  <si>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</si>
  <si>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</si>
  <si>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</si>
  <si>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</si>
  <si>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</si>
  <si>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</si>
  <si>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</si>
  <si>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</si>
  <si>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</si>
  <si>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</si>
  <si>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</si>
  <si>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</si>
  <si>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</si>
  <si>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</si>
  <si>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</si>
  <si>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</si>
  <si>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</si>
  <si>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</si>
  <si>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</si>
  <si>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</si>
  <si>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</si>
  <si>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</si>
  <si>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</si>
  <si>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</si>
  <si>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</si>
  <si>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</si>
  <si>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</si>
  <si>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</si>
  <si>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</si>
  <si>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</si>
  <si>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</si>
  <si>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</si>
  <si>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</si>
  <si>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</si>
  <si>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</si>
  <si>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</si>
  <si>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</si>
  <si>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</si>
  <si>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</si>
  <si>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</si>
  <si>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</si>
  <si>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</si>
  <si>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</si>
  <si>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</si>
  <si>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</si>
  <si>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</si>
  <si>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</si>
  <si>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</si>
  <si>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</si>
  <si>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</si>
  <si>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</si>
  <si>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</si>
  <si>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</si>
  <si>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</si>
  <si>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</si>
  <si>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</si>
  <si>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</si>
  <si>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</si>
  <si>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</si>
  <si>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</si>
  <si>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</si>
  <si>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</si>
  <si>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</si>
  <si>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</si>
  <si>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</si>
  <si>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</si>
  <si>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</si>
  <si>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</si>
  <si>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</si>
  <si>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</si>
  <si>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</si>
  <si>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</si>
  <si>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</si>
  <si>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</si>
  <si>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</si>
  <si>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</si>
  <si>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</si>
  <si>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</si>
  <si>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</si>
  <si>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</si>
  <si>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</si>
  <si>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</si>
  <si>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</si>
  <si>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</si>
  <si>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</si>
  <si>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</si>
  <si>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</si>
  <si>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</si>
  <si>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</si>
  <si>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</si>
  <si>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</si>
  <si>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</si>
  <si>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</si>
  <si>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</si>
  <si>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</si>
  <si>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</si>
  <si>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</si>
  <si>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</si>
  <si>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</si>
  <si>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</si>
  <si>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</si>
  <si>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</si>
  <si>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</si>
  <si>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</si>
  <si>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</si>
  <si>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</si>
  <si>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</si>
  <si>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</si>
  <si>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</si>
  <si>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</si>
  <si>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</si>
  <si>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</si>
  <si>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</si>
  <si>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</si>
  <si>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</si>
  <si>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</si>
  <si>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</si>
  <si>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</si>
  <si>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</si>
  <si>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</si>
  <si>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</si>
  <si>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</si>
  <si>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</si>
  <si>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</si>
  <si>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</si>
  <si>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</si>
  <si>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</si>
  <si>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</si>
  <si>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</si>
  <si>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</si>
  <si>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</si>
  <si>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</si>
  <si>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</si>
  <si>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</si>
  <si>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</si>
  <si>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</si>
  <si>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</si>
  <si>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</si>
  <si>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</si>
  <si>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</si>
  <si>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</si>
  <si>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</si>
  <si>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</si>
  <si>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</si>
  <si>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</si>
  <si>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</si>
  <si>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</si>
  <si>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</si>
  <si>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</si>
  <si>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</si>
  <si>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</si>
  <si>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</si>
  <si>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</si>
  <si>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</si>
  <si>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</si>
  <si>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</si>
  <si>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</si>
  <si>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</si>
  <si>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</si>
  <si>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</si>
  <si>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</si>
  <si>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</si>
  <si>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</si>
  <si>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</si>
  <si>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</si>
  <si>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</si>
  <si>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</si>
  <si>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</si>
  <si>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</si>
  <si>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</si>
  <si>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</si>
  <si>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</si>
  <si>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</si>
  <si>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</si>
  <si>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</si>
  <si>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</si>
  <si>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</si>
  <si>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</si>
  <si>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</si>
  <si>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</si>
  <si>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</si>
  <si>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</si>
  <si>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</si>
  <si>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</si>
  <si>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</si>
  <si>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</si>
  <si>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</si>
  <si>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</si>
  <si>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</si>
  <si>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</si>
  <si>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</si>
  <si>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</si>
  <si>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</si>
  <si>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</si>
  <si>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</si>
  <si>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</si>
  <si>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</si>
  <si>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</si>
  <si>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</si>
  <si>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</si>
  <si>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</si>
  <si>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</si>
  <si>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</si>
  <si>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</si>
  <si>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</si>
  <si>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</si>
  <si>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</si>
  <si>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</si>
  <si>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</si>
  <si>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</si>
  <si>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</si>
  <si>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</si>
  <si>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</si>
  <si>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</si>
  <si>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</si>
  <si>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</si>
  <si>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</si>
  <si>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</si>
  <si>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</si>
  <si>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</si>
  <si>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</si>
  <si>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</si>
  <si>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</si>
  <si>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</si>
  <si>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</si>
  <si>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</si>
  <si>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</si>
  <si>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</si>
  <si>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</si>
  <si>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</si>
  <si>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</si>
  <si>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</si>
  <si>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</si>
  <si>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</si>
  <si>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</si>
  <si>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</si>
  <si>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</si>
  <si>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</si>
  <si>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</si>
  <si>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</si>
  <si>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</si>
  <si>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</si>
  <si>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</si>
  <si>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</si>
  <si>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</si>
  <si>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</si>
  <si>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</si>
  <si>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</si>
  <si>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</si>
  <si>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</si>
  <si>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</si>
  <si>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</si>
  <si>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</si>
  <si>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</si>
  <si>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</si>
  <si>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</si>
  <si>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</si>
  <si>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</si>
  <si>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</si>
  <si>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</si>
  <si>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</si>
  <si>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</si>
  <si>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</si>
  <si>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</si>
  <si>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</si>
  <si>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</si>
  <si>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</si>
  <si>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</si>
  <si>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</si>
  <si>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</si>
  <si>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</si>
  <si>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</si>
  <si>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</si>
  <si>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</si>
  <si>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</si>
  <si>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</si>
  <si>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</si>
  <si>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</si>
  <si>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</si>
  <si>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</si>
  <si>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</si>
  <si>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</si>
  <si>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</si>
  <si>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</si>
  <si>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</si>
  <si>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</si>
  <si>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</si>
  <si>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</si>
  <si>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</si>
  <si>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</si>
  <si>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</si>
  <si>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</si>
  <si>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</si>
  <si>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</si>
  <si>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</si>
  <si>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</si>
  <si>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</si>
  <si>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</si>
  <si>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</si>
  <si>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</si>
  <si>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</si>
  <si>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</si>
  <si>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</si>
  <si>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</si>
  <si>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</si>
  <si>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</si>
  <si>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</si>
  <si>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</si>
  <si>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</si>
  <si>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</si>
  <si>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</si>
  <si>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</si>
  <si>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</si>
  <si>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</si>
  <si>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</si>
  <si>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</si>
  <si>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</si>
  <si>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</si>
  <si>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</si>
  <si>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</si>
  <si>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</si>
  <si>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</si>
  <si>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</si>
  <si>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</si>
  <si>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</si>
  <si>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</si>
  <si>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</si>
  <si>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</si>
  <si>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</si>
  <si>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</si>
  <si>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</si>
  <si>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</si>
  <si>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</si>
  <si>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</si>
  <si>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</si>
  <si>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</si>
  <si>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</si>
  <si>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</si>
  <si>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</si>
  <si>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</si>
  <si>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</si>
  <si>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</si>
  <si>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</si>
  <si>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</si>
  <si>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</si>
  <si>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</si>
  <si>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</si>
  <si>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</si>
  <si>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</si>
  <si>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</si>
  <si>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</si>
  <si>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</si>
  <si>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</si>
  <si>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</si>
  <si>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</si>
  <si>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</si>
  <si>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</si>
  <si>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</si>
  <si>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</si>
  <si>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</si>
  <si>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</si>
  <si>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</si>
  <si>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</si>
  <si>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</si>
  <si>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</si>
  <si>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</si>
  <si>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</si>
  <si>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</si>
  <si>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</si>
  <si>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</si>
  <si>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</si>
  <si>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</si>
  <si>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</si>
  <si>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</si>
  <si>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</si>
  <si>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</si>
  <si>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</si>
  <si>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</si>
  <si>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</si>
  <si>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</si>
  <si>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</si>
  <si>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</si>
  <si>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</si>
  <si>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</si>
  <si>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</si>
  <si>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</si>
  <si>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</si>
  <si>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</si>
  <si>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</si>
  <si>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</si>
  <si>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</si>
  <si>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</si>
  <si>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</si>
  <si>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</si>
  <si>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</si>
  <si>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</si>
  <si>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</si>
  <si>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</si>
  <si>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</si>
  <si>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</si>
  <si>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</si>
  <si>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</si>
  <si>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</si>
  <si>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</si>
  <si>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</si>
  <si>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</si>
  <si>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</si>
  <si>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</si>
  <si>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</si>
  <si>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</si>
  <si>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</si>
  <si>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</si>
  <si>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</si>
  <si>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</si>
  <si>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</si>
  <si>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</si>
  <si>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</si>
  <si>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</si>
  <si>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</si>
  <si>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</si>
  <si>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</si>
  <si>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</si>
  <si>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</si>
  <si>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</si>
  <si>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</si>
  <si>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</si>
  <si>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</si>
  <si>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</si>
  <si>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</si>
  <si>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</si>
  <si>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</si>
  <si>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</si>
  <si>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</si>
  <si>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</si>
  <si>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</si>
  <si>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</si>
  <si>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</si>
  <si>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</si>
  <si>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</si>
  <si>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</si>
  <si>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</si>
  <si>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</si>
  <si>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</si>
  <si>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</si>
  <si>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</si>
  <si>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</si>
  <si>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</si>
  <si>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</si>
  <si>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</si>
  <si>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</si>
  <si>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</si>
  <si>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</si>
  <si>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</si>
  <si>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</si>
  <si>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</si>
  <si>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</si>
  <si>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</si>
  <si>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</si>
  <si>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</si>
  <si>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</si>
  <si>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</si>
  <si>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</si>
  <si>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</si>
  <si>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</si>
  <si>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</si>
  <si>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</si>
  <si>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</si>
  <si>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</si>
  <si>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</si>
  <si>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</si>
  <si>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</si>
  <si>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</si>
  <si>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</si>
  <si>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</si>
  <si>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</si>
  <si>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</si>
  <si>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</si>
  <si>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</si>
  <si>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</si>
  <si>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</si>
  <si>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</si>
  <si>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</si>
  <si>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</si>
  <si>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</si>
  <si>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</si>
  <si>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</si>
  <si>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</si>
  <si>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</si>
  <si>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</si>
  <si>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</si>
  <si>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</si>
  <si>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</si>
  <si>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</si>
  <si>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</si>
  <si>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</si>
  <si>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</si>
  <si>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</si>
  <si>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</si>
  <si>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</si>
  <si>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</si>
  <si>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</si>
  <si>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</si>
  <si>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</si>
  <si>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</si>
  <si>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</si>
  <si>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</si>
  <si>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</si>
  <si>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</si>
  <si>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</si>
  <si>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</si>
  <si>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</si>
  <si>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</si>
  <si>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</si>
  <si>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</si>
  <si>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</si>
  <si>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</si>
  <si>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</si>
  <si>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</si>
  <si>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</si>
  <si>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</si>
  <si>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</si>
  <si>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</si>
  <si>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</si>
  <si>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</si>
  <si>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</si>
  <si>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</si>
  <si>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</si>
  <si>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</si>
  <si>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</si>
  <si>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</si>
  <si>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</si>
  <si>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</si>
  <si>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</si>
  <si>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</si>
  <si>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</si>
  <si>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</si>
  <si>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</si>
  <si>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</si>
  <si>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</si>
  <si>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</si>
  <si>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</si>
  <si>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</si>
  <si>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</si>
  <si>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</si>
  <si>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</si>
  <si>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</si>
  <si>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</si>
  <si>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</si>
  <si>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</si>
  <si>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</si>
  <si>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</si>
  <si>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</si>
  <si>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</si>
  <si>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</si>
  <si>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</si>
  <si>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</si>
  <si>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</si>
  <si>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</si>
  <si>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</si>
  <si>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</si>
  <si>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</si>
  <si>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</si>
  <si>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</si>
  <si>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</si>
  <si>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</si>
  <si>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</si>
  <si>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</si>
  <si>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</si>
  <si>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</si>
  <si>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</si>
  <si>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</si>
  <si>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</si>
  <si>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</si>
  <si>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</si>
  <si>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</si>
  <si>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</si>
  <si>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</si>
  <si>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</si>
  <si>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</si>
  <si>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</si>
  <si>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</si>
  <si>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</si>
  <si>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</si>
  <si>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</si>
  <si>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</si>
  <si>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</si>
  <si>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</si>
  <si>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</si>
  <si>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</si>
  <si>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</si>
  <si>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</si>
  <si>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</si>
  <si>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</si>
  <si>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</si>
  <si>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</si>
  <si>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</si>
  <si>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</si>
  <si>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</si>
  <si>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</si>
  <si>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</si>
  <si>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</si>
  <si>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</si>
  <si>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</si>
  <si>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</si>
  <si>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</si>
  <si>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</si>
  <si>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</si>
  <si>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</si>
  <si>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</si>
  <si>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</si>
  <si>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</si>
  <si>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</si>
  <si>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</si>
  <si>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</si>
  <si>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</si>
  <si>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</si>
  <si>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</si>
  <si>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</si>
  <si>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</si>
  <si>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</si>
  <si>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</si>
  <si>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</si>
  <si>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</si>
  <si>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</si>
  <si>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</si>
  <si>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</si>
  <si>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</si>
  <si>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</si>
  <si>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</si>
  <si>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</si>
  <si>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</si>
  <si>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</si>
  <si>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</si>
  <si>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</si>
  <si>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</si>
  <si>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</si>
  <si>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</si>
  <si>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</si>
  <si>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</si>
  <si>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</si>
  <si>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</si>
  <si>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</si>
  <si>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</si>
  <si>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</si>
  <si>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</si>
  <si>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</si>
  <si>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</si>
  <si>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</si>
  <si>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</si>
  <si>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</si>
  <si>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</si>
  <si>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</si>
  <si>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</si>
  <si>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</si>
  <si>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</si>
  <si>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</si>
  <si>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</si>
  <si>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</si>
  <si>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</si>
  <si>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</si>
  <si>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</si>
  <si>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</si>
  <si>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</si>
  <si>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</si>
  <si>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</si>
  <si>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</si>
  <si>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</si>
  <si>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</si>
  <si>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</si>
  <si>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</si>
  <si>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</si>
  <si>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</si>
  <si>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</si>
  <si>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</si>
  <si>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</si>
  <si>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</si>
  <si>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</si>
  <si>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</si>
  <si>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</si>
  <si>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</si>
  <si>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</si>
  <si>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</si>
  <si>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</si>
  <si>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</si>
  <si>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</si>
  <si>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</si>
  <si>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</si>
  <si>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</si>
  <si>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</si>
  <si>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</si>
  <si>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</si>
  <si>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</si>
  <si>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</si>
  <si>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</si>
  <si>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</si>
  <si>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</si>
  <si>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</si>
  <si>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</si>
  <si>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</si>
  <si>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</si>
  <si>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</si>
  <si>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</si>
  <si>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</si>
  <si>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</si>
  <si>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</si>
  <si>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</si>
  <si>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</si>
  <si>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</si>
  <si>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</si>
  <si>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</si>
  <si>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</si>
  <si>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</si>
  <si>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</si>
  <si>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</si>
  <si>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</si>
  <si>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</si>
  <si>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</si>
  <si>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</si>
  <si>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</si>
  <si>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</si>
  <si>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</si>
  <si>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</si>
  <si>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</si>
  <si>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</si>
  <si>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</si>
  <si>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</si>
  <si>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</si>
  <si>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</si>
  <si>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</si>
  <si>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</si>
  <si>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</si>
  <si>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</si>
  <si>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</si>
  <si>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</si>
  <si>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</si>
  <si>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</si>
  <si>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</si>
  <si>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</si>
  <si>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</si>
  <si>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</si>
  <si>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</si>
  <si>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</si>
  <si>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</si>
  <si>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</si>
  <si>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</si>
  <si>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</si>
  <si>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</si>
  <si>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</si>
  <si>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</si>
  <si>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</si>
  <si>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</si>
  <si>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</si>
  <si>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</si>
  <si>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</si>
  <si>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</si>
  <si>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</si>
  <si>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</si>
  <si>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</si>
  <si>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</si>
  <si>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</si>
  <si>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</si>
  <si>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</si>
  <si>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</si>
  <si>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</si>
  <si>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</si>
  <si>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</si>
  <si>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</si>
  <si>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</si>
  <si>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</si>
  <si>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</si>
  <si>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</si>
  <si>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</si>
  <si>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</si>
  <si>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</si>
  <si>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</si>
  <si>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</si>
  <si>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</si>
  <si>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</si>
  <si>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</si>
  <si>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</si>
  <si>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</si>
  <si>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</si>
  <si>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</si>
  <si>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</si>
  <si>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</si>
  <si>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</si>
  <si>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</si>
  <si>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</si>
  <si>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</si>
  <si>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</si>
  <si>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</si>
  <si>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</si>
  <si>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</si>
  <si>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</si>
  <si>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</si>
  <si>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</si>
  <si>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</si>
  <si>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</si>
  <si>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</si>
  <si>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</si>
  <si>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</si>
  <si>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</si>
  <si>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</si>
  <si>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</si>
  <si>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</si>
  <si>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</si>
  <si>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</si>
  <si>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</si>
  <si>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</si>
  <si>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</si>
  <si>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</si>
  <si>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</si>
  <si>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</si>
  <si>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</si>
  <si>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</si>
  <si>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</si>
  <si>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</si>
  <si>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</si>
  <si>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</si>
  <si>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</si>
  <si>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</si>
  <si>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</si>
  <si>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</si>
  <si>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</si>
  <si>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</si>
  <si>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</si>
  <si>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</si>
  <si>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</si>
  <si>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</si>
  <si>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</si>
  <si>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</si>
  <si>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</si>
  <si>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</si>
  <si>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</si>
  <si>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</si>
  <si>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</si>
  <si>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</si>
  <si>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</si>
  <si>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</si>
  <si>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</si>
  <si>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</si>
  <si>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</si>
  <si>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</si>
  <si>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</si>
  <si>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</si>
  <si>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</si>
  <si>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</si>
  <si>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</si>
  <si>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</si>
  <si>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</si>
  <si>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</si>
  <si>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</si>
  <si>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</si>
  <si>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</si>
  <si>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</si>
  <si>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</si>
  <si>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</si>
  <si>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</si>
  <si>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</si>
  <si>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</si>
  <si>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</si>
  <si>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</si>
  <si>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</si>
  <si>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</si>
  <si>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</si>
  <si>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</si>
  <si>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</si>
  <si>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</si>
  <si>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</si>
  <si>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</si>
  <si>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</si>
  <si>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</si>
  <si>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</si>
  <si>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</si>
  <si>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</si>
  <si>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</si>
  <si>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</si>
  <si>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</si>
  <si>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</si>
  <si>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</si>
  <si>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</si>
  <si>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</si>
  <si>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</si>
  <si>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</si>
  <si>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</si>
  <si>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</si>
  <si>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</si>
  <si>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</si>
  <si>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</si>
  <si>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</si>
  <si>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</si>
  <si>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</si>
  <si>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</si>
  <si>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</si>
  <si>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</si>
  <si>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</si>
  <si>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</si>
  <si>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</si>
  <si>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</si>
  <si>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</si>
  <si>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</si>
  <si>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</si>
  <si>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</si>
  <si>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</si>
  <si>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</si>
  <si>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</si>
  <si>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</si>
  <si>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</si>
  <si>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</si>
  <si>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</si>
  <si>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</si>
  <si>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</si>
  <si>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</si>
  <si>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</si>
  <si>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</si>
  <si>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</si>
  <si>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</si>
  <si>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</si>
  <si>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</si>
  <si>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</si>
  <si>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</si>
  <si>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</si>
  <si>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</si>
  <si>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</si>
  <si>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</si>
  <si>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</si>
  <si>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</si>
  <si>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</si>
  <si>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</si>
  <si>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</si>
  <si>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</si>
  <si>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</si>
  <si>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</si>
  <si>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</si>
  <si>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</si>
  <si>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</si>
  <si>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</si>
  <si>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</si>
  <si>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</si>
  <si>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</si>
  <si>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</si>
  <si>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</si>
  <si>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</si>
  <si>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</si>
  <si>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</si>
  <si>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</si>
  <si>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</si>
  <si>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</si>
  <si>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</si>
  <si>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</si>
  <si>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</si>
  <si>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</si>
  <si>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</si>
  <si>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</si>
  <si>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</si>
  <si>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</si>
  <si>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</si>
  <si>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</si>
  <si>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</si>
  <si>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</si>
  <si>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</si>
  <si>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</si>
  <si>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</si>
  <si>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</si>
  <si>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</si>
  <si>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</si>
  <si>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</si>
  <si>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</si>
  <si>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</si>
  <si>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</si>
  <si>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</si>
  <si>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</si>
  <si>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</si>
  <si>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</si>
  <si>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</si>
  <si>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</si>
  <si>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</si>
  <si>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</si>
  <si>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</si>
  <si>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</si>
  <si>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</si>
  <si>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</si>
  <si>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</si>
  <si>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</si>
  <si>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</si>
  <si>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</si>
  <si>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</si>
  <si>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</si>
  <si>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</si>
  <si>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</si>
  <si>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</si>
  <si>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</si>
  <si>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</si>
  <si>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</si>
  <si>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</si>
  <si>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</si>
  <si>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</si>
  <si>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</si>
  <si>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</si>
  <si>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</si>
  <si>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</si>
  <si>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</si>
  <si>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</si>
  <si>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</si>
  <si>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</si>
  <si>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</si>
  <si>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</si>
  <si>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</si>
  <si>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</si>
  <si>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</si>
  <si>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</si>
  <si>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</si>
  <si>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</si>
  <si>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</si>
  <si>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</si>
  <si>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</si>
  <si>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</si>
  <si>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</si>
  <si>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</si>
  <si>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</si>
  <si>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</si>
  <si>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</si>
  <si>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</si>
  <si>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</si>
  <si>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</si>
  <si>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</si>
  <si>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</si>
  <si>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</si>
  <si>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</si>
  <si>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</si>
  <si>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</si>
  <si>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</si>
  <si>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</si>
  <si>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</si>
  <si>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</si>
  <si>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</si>
  <si>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</si>
  <si>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</si>
  <si>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</si>
  <si>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</si>
  <si>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</si>
  <si>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</si>
  <si>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</si>
  <si>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</si>
  <si>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</si>
  <si>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</si>
  <si>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</si>
  <si>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</si>
  <si>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</si>
  <si>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</si>
  <si>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</si>
  <si>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</si>
  <si>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</si>
  <si>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</si>
  <si>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</si>
  <si>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</si>
  <si>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</si>
  <si>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</si>
  <si>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</si>
  <si>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</si>
  <si>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</si>
  <si>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</si>
  <si>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</si>
  <si>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</si>
  <si>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</si>
  <si>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</si>
  <si>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</si>
  <si>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</si>
  <si>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</si>
  <si>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</si>
  <si>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</si>
  <si>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</si>
  <si>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</si>
  <si>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</si>
  <si>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</si>
  <si>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</si>
  <si>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</si>
  <si>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</si>
  <si>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</si>
  <si>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</si>
  <si>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</si>
  <si>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</si>
  <si>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</si>
  <si>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</si>
  <si>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</si>
  <si>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</si>
  <si>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</si>
  <si>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</si>
  <si>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</si>
  <si>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</si>
  <si>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</si>
  <si>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</si>
  <si>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</si>
  <si>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</si>
  <si>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</si>
  <si>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</si>
  <si>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</si>
  <si>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</si>
  <si>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</si>
  <si>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</si>
  <si>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</si>
  <si>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</si>
  <si>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</si>
  <si>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</si>
  <si>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</si>
  <si>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</si>
  <si>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</si>
  <si>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</si>
  <si>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</si>
  <si>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</si>
  <si>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</si>
  <si>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</si>
  <si>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</si>
  <si>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</si>
  <si>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</si>
  <si>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</si>
  <si>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</si>
  <si>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</si>
  <si>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</si>
  <si>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</si>
  <si>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</si>
  <si>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</si>
  <si>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</si>
  <si>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</si>
  <si>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</si>
  <si>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</si>
  <si>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</si>
  <si>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</si>
  <si>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</si>
  <si>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</si>
  <si>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</si>
  <si>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</si>
  <si>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</si>
  <si>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</si>
  <si>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</si>
  <si>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</si>
  <si>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</si>
  <si>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</si>
  <si>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</si>
  <si>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</si>
  <si>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</si>
  <si>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</si>
  <si>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</si>
  <si>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</si>
  <si>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</si>
  <si>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</si>
  <si>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</si>
  <si>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</si>
  <si>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</si>
  <si>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</si>
  <si>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</si>
  <si>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</si>
  <si>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</si>
  <si>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</si>
  <si>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</si>
  <si>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</si>
  <si>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</si>
  <si>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</si>
  <si>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</si>
  <si>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</si>
  <si>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</si>
  <si>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</si>
  <si>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</si>
  <si>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</si>
  <si>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</si>
  <si>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</si>
  <si>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</si>
  <si>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</si>
  <si>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</si>
  <si>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</si>
  <si>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</si>
  <si>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</si>
  <si>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</si>
  <si>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</si>
  <si>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</si>
  <si>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</si>
  <si>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</si>
  <si>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</si>
  <si>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</si>
  <si>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</si>
  <si>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</si>
  <si>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</si>
  <si>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</si>
  <si>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</si>
  <si>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</si>
  <si>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</si>
  <si>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</si>
  <si>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</si>
  <si>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</si>
  <si>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</si>
  <si>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</si>
  <si>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</si>
  <si>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</si>
  <si>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</si>
  <si>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</si>
  <si>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</si>
  <si>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</si>
  <si>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</si>
  <si>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</si>
  <si>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</si>
  <si>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</si>
  <si>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</si>
  <si>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</si>
  <si>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</si>
  <si>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</si>
  <si>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</si>
  <si>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</si>
  <si>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</si>
  <si>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</si>
  <si>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</si>
  <si>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</si>
  <si>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</si>
  <si>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</si>
  <si>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</si>
  <si>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</si>
  <si>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</si>
  <si>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</si>
  <si>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</si>
  <si>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</si>
  <si>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</si>
  <si>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</si>
  <si>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</si>
  <si>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</si>
  <si>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</si>
  <si>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</si>
  <si>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</si>
  <si>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</si>
  <si>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</si>
  <si>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</si>
  <si>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</si>
  <si>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</si>
  <si>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</si>
  <si>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</si>
  <si>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</si>
  <si>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</si>
  <si>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</si>
  <si>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</si>
  <si>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</si>
  <si>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</si>
  <si>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</si>
  <si>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</si>
  <si>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</si>
  <si>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</si>
  <si>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</si>
  <si>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</si>
  <si>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</si>
  <si>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</si>
  <si>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</si>
  <si>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</si>
  <si>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</si>
  <si>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</si>
  <si>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</si>
  <si>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</si>
  <si>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</si>
  <si>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</si>
  <si>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</si>
  <si>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</si>
  <si>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</si>
  <si>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</si>
  <si>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</si>
  <si>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</si>
  <si>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</si>
  <si>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</si>
  <si>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</si>
  <si>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</si>
  <si>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</si>
  <si>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</si>
  <si>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</si>
  <si>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</si>
  <si>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</si>
  <si>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</si>
  <si>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</si>
  <si>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</si>
  <si>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</si>
  <si>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</si>
  <si>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</si>
  <si>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</si>
  <si>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</si>
  <si>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</si>
  <si>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</si>
  <si>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</si>
  <si>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</si>
  <si>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</si>
  <si>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</si>
  <si>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</si>
  <si>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</si>
  <si>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</si>
  <si>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</si>
  <si>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</si>
  <si>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</si>
  <si>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</si>
  <si>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</si>
  <si>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</si>
  <si>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</si>
  <si>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</si>
  <si>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</si>
  <si>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</si>
  <si>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</si>
  <si>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</si>
  <si>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</si>
  <si>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</si>
  <si>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</si>
  <si>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</si>
  <si>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</si>
  <si>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</si>
  <si>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</si>
  <si>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</si>
  <si>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</si>
  <si>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</si>
  <si>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</si>
  <si>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</si>
  <si>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</si>
  <si>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</si>
  <si>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</si>
  <si>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</si>
  <si>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</si>
  <si>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</si>
  <si>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</si>
  <si>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</si>
  <si>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</si>
  <si>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</si>
  <si>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</si>
  <si>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</si>
  <si>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</si>
  <si>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</si>
  <si>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</si>
  <si>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</si>
  <si>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</si>
  <si>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</si>
  <si>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</si>
  <si>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</si>
  <si>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</si>
  <si>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</si>
  <si>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</si>
  <si>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</si>
  <si>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</si>
  <si>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</si>
  <si>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</si>
  <si>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</si>
  <si>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</si>
  <si>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</si>
  <si>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</si>
  <si>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</si>
  <si>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</si>
  <si>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</si>
  <si>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</si>
  <si>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</si>
  <si>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</si>
  <si>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</si>
  <si>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</si>
  <si>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</si>
  <si>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</si>
  <si>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</si>
  <si>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</si>
  <si>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</si>
  <si>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</si>
  <si>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</si>
  <si>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</si>
  <si>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</si>
  <si>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</si>
  <si>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</si>
  <si>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</si>
  <si>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</si>
  <si>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</si>
  <si>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</si>
  <si>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</si>
  <si>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</si>
  <si>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</si>
  <si>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</si>
  <si>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</si>
  <si>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</si>
  <si>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</si>
  <si>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</si>
  <si>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</si>
  <si>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</si>
  <si>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</si>
  <si>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</si>
  <si>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</si>
  <si>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</si>
  <si>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</si>
  <si>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</si>
  <si>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</si>
  <si>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</si>
  <si>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</si>
  <si>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</si>
  <si>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</si>
  <si>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</si>
  <si>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</si>
  <si>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</si>
  <si>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</si>
  <si>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</si>
  <si>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</si>
  <si>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</si>
  <si>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</si>
  <si>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</si>
  <si>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</si>
  <si>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</si>
  <si>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</si>
  <si>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</si>
  <si>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</si>
  <si>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</si>
  <si>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</si>
  <si>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</si>
  <si>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</si>
  <si>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</si>
  <si>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</si>
  <si>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</si>
  <si>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</si>
  <si>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</si>
  <si>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</si>
  <si>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</si>
  <si>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</si>
  <si>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</si>
  <si>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</si>
  <si>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</si>
  <si>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</si>
  <si>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</si>
  <si>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</si>
  <si>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</si>
  <si>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</si>
  <si>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</si>
  <si>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</si>
  <si>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</si>
  <si>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</si>
  <si>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</si>
  <si>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</si>
  <si>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</si>
  <si>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</si>
  <si>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</si>
  <si>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</si>
  <si>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</si>
  <si>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</si>
  <si>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</si>
  <si>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</si>
  <si>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</si>
  <si>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</si>
  <si>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</si>
  <si>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</si>
  <si>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</si>
  <si>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</si>
  <si>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</si>
  <si>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</si>
  <si>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</si>
  <si>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</si>
  <si>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</si>
  <si>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</si>
  <si>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</si>
  <si>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</si>
  <si>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</si>
  <si>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</si>
  <si>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</si>
  <si>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</si>
  <si>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</si>
  <si>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</si>
  <si>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</si>
  <si>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</si>
  <si>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</si>
  <si>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</si>
  <si>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</si>
  <si>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</si>
  <si>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</si>
  <si>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</si>
  <si>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</si>
  <si>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</si>
  <si>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</si>
  <si>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</si>
  <si>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</si>
  <si>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</si>
  <si>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</si>
  <si>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</si>
  <si>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</si>
  <si>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</si>
  <si>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</si>
  <si>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</si>
  <si>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</si>
  <si>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</si>
  <si>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</si>
  <si>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</si>
  <si>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</si>
  <si>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</si>
  <si>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</si>
  <si>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</si>
  <si>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</si>
  <si>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</si>
  <si>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</si>
  <si>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</si>
  <si>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</si>
  <si>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</si>
  <si>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</si>
  <si>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</si>
  <si>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</si>
  <si>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</si>
  <si>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</si>
  <si>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</si>
  <si>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</si>
  <si>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</si>
  <si>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</si>
  <si>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</si>
  <si>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</si>
  <si>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</si>
  <si>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</si>
  <si>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</si>
  <si>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</si>
  <si>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</si>
  <si>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</si>
  <si>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</si>
  <si>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</si>
  <si>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</si>
  <si>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</si>
  <si>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</si>
  <si>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</si>
  <si>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</si>
  <si>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</si>
  <si>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</si>
  <si>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</si>
  <si>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</si>
  <si>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</si>
  <si>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</si>
  <si>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</si>
  <si>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</si>
  <si>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</si>
  <si>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</si>
  <si>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</si>
  <si>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</si>
  <si>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</si>
  <si>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</si>
  <si>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</si>
  <si>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</si>
  <si>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</si>
  <si>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</si>
  <si>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</si>
  <si>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</si>
  <si>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</si>
  <si>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</si>
  <si>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</si>
  <si>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</si>
  <si>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</si>
  <si>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</si>
  <si>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</si>
  <si>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</si>
  <si>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</si>
  <si>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</si>
  <si>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</si>
  <si>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</si>
  <si>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</si>
  <si>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</si>
  <si>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</si>
  <si>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</si>
  <si>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</si>
  <si>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</si>
  <si>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</si>
  <si>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</si>
  <si>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</si>
  <si>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</si>
  <si>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</si>
  <si>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</si>
  <si>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</si>
  <si>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</si>
  <si>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</si>
  <si>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</si>
  <si>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</si>
  <si>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</si>
  <si>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</si>
  <si>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</si>
  <si>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</si>
  <si>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</si>
  <si>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</si>
  <si>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</si>
  <si>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</si>
  <si>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</si>
  <si>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</si>
  <si>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</si>
  <si>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</si>
  <si>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</si>
  <si>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</si>
  <si>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</si>
  <si>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</si>
  <si>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</si>
  <si>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</si>
  <si>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</si>
  <si>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</si>
  <si>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</si>
  <si>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</si>
  <si>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</si>
  <si>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</si>
  <si>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</si>
  <si>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</si>
  <si>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</si>
  <si>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</si>
  <si>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</si>
  <si>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</si>
  <si>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</si>
  <si>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</si>
  <si>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</si>
  <si>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</si>
  <si>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</si>
  <si>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</si>
  <si>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</si>
  <si>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</si>
  <si>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</si>
  <si>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</si>
  <si>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</si>
  <si>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</si>
  <si>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</si>
  <si>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</si>
  <si>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</si>
  <si>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</si>
  <si>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</si>
  <si>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</si>
  <si>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</si>
  <si>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</si>
  <si>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</si>
  <si>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</si>
  <si>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</si>
  <si>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</si>
  <si>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</si>
  <si>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</si>
  <si>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</si>
  <si>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</si>
  <si>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</si>
  <si>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</si>
  <si>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</si>
  <si>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</si>
  <si>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</si>
  <si>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</si>
  <si>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</si>
  <si>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</si>
  <si>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</si>
  <si>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</si>
  <si>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</si>
  <si>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</si>
  <si>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</si>
  <si>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</si>
  <si>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</si>
  <si>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</si>
  <si>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</si>
  <si>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</si>
  <si>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</si>
  <si>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</si>
  <si>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</si>
  <si>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</si>
  <si>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</si>
  <si>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</si>
  <si>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</si>
  <si>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</si>
  <si>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</si>
  <si>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</si>
  <si>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</si>
  <si>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</si>
  <si>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</si>
  <si>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</si>
  <si>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</si>
  <si>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</si>
  <si>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</si>
  <si>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</si>
  <si>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</si>
  <si>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</si>
  <si>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</si>
  <si>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</si>
  <si>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</si>
  <si>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</si>
  <si>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</si>
  <si>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</si>
  <si>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</si>
  <si>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</si>
  <si>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</si>
  <si>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</si>
  <si>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</si>
  <si>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</si>
  <si>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</si>
  <si>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</si>
  <si>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</si>
  <si>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</si>
  <si>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</si>
  <si>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</si>
  <si>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</si>
  <si>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</si>
  <si>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</si>
  <si>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</si>
  <si>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</si>
  <si>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</si>
  <si>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</si>
  <si>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</si>
  <si>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</si>
  <si>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</si>
  <si>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</si>
  <si>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</si>
  <si>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</si>
  <si>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</si>
  <si>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</si>
  <si>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</si>
  <si>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</si>
  <si>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</si>
  <si>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</si>
  <si>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</si>
  <si>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</si>
  <si>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</si>
  <si>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</si>
  <si>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</si>
  <si>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</si>
  <si>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</si>
  <si>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</si>
  <si>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</si>
  <si>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</si>
  <si>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</si>
  <si>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</si>
  <si>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</si>
  <si>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</si>
  <si>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</si>
  <si>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</si>
  <si>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</si>
  <si>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</si>
  <si>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</si>
  <si>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</si>
  <si>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</si>
  <si>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</si>
  <si>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</si>
  <si>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</si>
  <si>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</si>
  <si>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</si>
  <si>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</si>
  <si>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</si>
  <si>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</si>
  <si>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</si>
  <si>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</si>
  <si>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</si>
  <si>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</si>
  <si>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</si>
  <si>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</si>
  <si>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</si>
  <si>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</si>
  <si>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</si>
  <si>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</si>
  <si>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</si>
  <si>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</si>
  <si>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</si>
  <si>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</si>
  <si>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</si>
  <si>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</si>
  <si>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</si>
  <si>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</si>
  <si>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</si>
  <si>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</si>
  <si>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</si>
  <si>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</si>
  <si>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</si>
  <si>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</si>
  <si>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</si>
  <si>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</si>
  <si>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</si>
  <si>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</si>
  <si>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</si>
  <si>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</si>
  <si>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</si>
  <si>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</si>
  <si>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</si>
  <si>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</si>
  <si>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</si>
  <si>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</si>
  <si>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</si>
  <si>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</si>
  <si>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</si>
  <si>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</si>
  <si>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</si>
  <si>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</si>
  <si>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</si>
  <si>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</si>
  <si>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</si>
  <si>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</si>
  <si>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</si>
  <si>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</si>
  <si>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</si>
  <si>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</si>
  <si>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</si>
  <si>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</si>
  <si>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</si>
  <si>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</si>
  <si>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</si>
  <si>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</si>
  <si>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</si>
  <si>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</si>
  <si>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</si>
  <si>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</si>
  <si>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</si>
  <si>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</si>
  <si>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</si>
  <si>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</si>
  <si>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</si>
  <si>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</si>
  <si>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</si>
  <si>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</si>
  <si>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</si>
  <si>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</si>
  <si>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</si>
  <si>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</si>
  <si>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</si>
  <si>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</si>
  <si>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</si>
  <si>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</si>
  <si>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</si>
  <si>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</si>
  <si>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</si>
  <si>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</si>
  <si>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</si>
  <si>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</si>
  <si>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</si>
  <si>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</si>
  <si>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</si>
  <si>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</si>
  <si>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</si>
  <si>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</si>
  <si>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</si>
  <si>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</si>
  <si>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</si>
  <si>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</si>
  <si>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</si>
  <si>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</si>
  <si>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</si>
  <si>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</si>
  <si>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</si>
  <si>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</si>
  <si>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</si>
  <si>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</si>
  <si>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</si>
  <si>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</si>
  <si>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</si>
  <si>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</si>
  <si>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</si>
  <si>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</si>
  <si>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</si>
  <si>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</si>
  <si>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</si>
  <si>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</si>
  <si>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</si>
  <si>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</si>
  <si>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</si>
  <si>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</si>
  <si>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</si>
  <si>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</si>
  <si>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</si>
  <si>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</si>
  <si>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</si>
  <si>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</si>
  <si>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</si>
  <si>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</si>
  <si>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</si>
  <si>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</si>
  <si>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</si>
  <si>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</si>
  <si>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</si>
  <si>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</si>
  <si>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</si>
  <si>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</si>
  <si>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</si>
  <si>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</si>
  <si>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</si>
  <si>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</si>
  <si>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</si>
  <si>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</si>
  <si>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</si>
  <si>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</si>
  <si>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</si>
  <si>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</si>
  <si>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</si>
  <si>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</si>
  <si>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</si>
  <si>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</si>
  <si>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</si>
  <si>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</si>
  <si>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</si>
  <si>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</si>
  <si>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</si>
  <si>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</si>
  <si>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</si>
  <si>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</si>
  <si>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</si>
  <si>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</si>
  <si>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</si>
  <si>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</si>
  <si>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</si>
  <si>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</si>
  <si>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</si>
  <si>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</si>
  <si>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</si>
  <si>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</si>
  <si>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</si>
  <si>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</si>
  <si>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</si>
  <si>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</si>
  <si>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</si>
  <si>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</si>
  <si>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</si>
  <si>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</si>
  <si>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</si>
  <si>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</si>
  <si>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</si>
  <si>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</si>
  <si>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</si>
  <si>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</si>
  <si>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</si>
  <si>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</si>
  <si>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</si>
  <si>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</si>
  <si>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</si>
  <si>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</si>
  <si>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</si>
  <si>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</si>
  <si>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</si>
  <si>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</si>
  <si>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</si>
  <si>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</si>
  <si>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</si>
  <si>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</si>
  <si>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</si>
  <si>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</si>
  <si>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</si>
  <si>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</si>
  <si>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</si>
  <si>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</si>
  <si>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</si>
  <si>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</si>
  <si>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</si>
  <si>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</si>
  <si>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</si>
  <si>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</si>
  <si>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</si>
  <si>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</si>
  <si>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</si>
  <si>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</si>
  <si>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</si>
  <si>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</si>
  <si>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</si>
  <si>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</si>
  <si>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</si>
  <si>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</si>
  <si>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</si>
  <si>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</si>
  <si>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</si>
  <si>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</si>
  <si>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</si>
  <si>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</si>
  <si>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</si>
  <si>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</si>
  <si>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</si>
  <si>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</si>
  <si>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</si>
  <si>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</si>
  <si>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</si>
  <si>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</si>
  <si>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</si>
  <si>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</si>
  <si>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</si>
  <si>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</si>
  <si>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</si>
  <si>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</si>
  <si>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</si>
  <si>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</si>
  <si>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</si>
  <si>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</si>
  <si>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</si>
  <si>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</si>
  <si>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</si>
  <si>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</si>
  <si>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</si>
  <si>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</si>
  <si>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</si>
  <si>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</si>
  <si>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</si>
  <si>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</si>
  <si>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</si>
  <si>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</si>
  <si>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</si>
  <si>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</si>
  <si>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</si>
  <si>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</si>
  <si>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</si>
  <si>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</si>
  <si>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</si>
  <si>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</si>
  <si>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</si>
  <si>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</si>
  <si>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</si>
  <si>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</si>
  <si>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</si>
  <si>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</si>
  <si>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</si>
  <si>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</si>
  <si>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</si>
  <si>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</si>
  <si>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</si>
  <si>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</si>
  <si>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</si>
  <si>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</si>
  <si>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</si>
  <si>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</si>
  <si>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</si>
  <si>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</si>
  <si>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</si>
  <si>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</si>
  <si>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</si>
  <si>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</si>
  <si>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</si>
  <si>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</si>
  <si>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</si>
  <si>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</si>
  <si>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</si>
  <si>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</si>
  <si>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</si>
  <si>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</si>
  <si>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</si>
  <si>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</si>
  <si>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</si>
  <si>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</si>
  <si>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</si>
  <si>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</si>
  <si>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</si>
  <si>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</si>
  <si>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</si>
  <si>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</si>
  <si>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</si>
  <si>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</si>
  <si>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</si>
  <si>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</si>
  <si>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</si>
  <si>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</si>
  <si>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</si>
  <si>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</si>
  <si>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</si>
  <si>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</si>
  <si>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</si>
  <si>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</si>
  <si>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</si>
  <si>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</si>
  <si>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</si>
  <si>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</si>
  <si>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</si>
  <si>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</si>
  <si>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</si>
  <si>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</si>
  <si>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</si>
  <si>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</si>
  <si>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</si>
  <si>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</si>
  <si>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</si>
  <si>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</si>
  <si>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</si>
  <si>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</si>
  <si>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</si>
  <si>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</si>
  <si>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</si>
  <si>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</si>
  <si>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</si>
  <si>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</si>
  <si>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</si>
  <si>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</si>
  <si>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</si>
  <si>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</si>
  <si>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</si>
  <si>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</si>
  <si>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</si>
  <si>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</si>
  <si>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</si>
  <si>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</si>
  <si>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</si>
  <si>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</si>
  <si>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</si>
  <si>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</si>
  <si>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</si>
  <si>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</si>
  <si>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</si>
  <si>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</si>
  <si>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</si>
  <si>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</si>
  <si>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</si>
  <si>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</si>
  <si>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</si>
  <si>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</si>
  <si>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</si>
  <si>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</si>
  <si>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</si>
  <si>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</si>
  <si>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</si>
  <si>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</si>
  <si>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</si>
  <si>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</si>
  <si>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</si>
  <si>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</si>
  <si>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</si>
  <si>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</si>
  <si>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</si>
  <si>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</si>
  <si>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</si>
  <si>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</si>
  <si>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</si>
  <si>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</si>
  <si>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</si>
  <si>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</si>
  <si>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</si>
  <si>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</si>
  <si>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</si>
  <si>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</si>
  <si>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</si>
  <si>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</si>
  <si>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</si>
  <si>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</si>
  <si>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</si>
  <si>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</si>
  <si>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</si>
  <si>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</si>
  <si>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</si>
  <si>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</si>
  <si>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</si>
  <si>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</si>
  <si>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</si>
  <si>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</si>
  <si>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</si>
  <si>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</si>
  <si>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</si>
  <si>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</si>
  <si>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</si>
  <si>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</si>
  <si>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</si>
  <si>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</si>
  <si>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</si>
  <si>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</si>
  <si>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</si>
  <si>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</si>
  <si>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</si>
  <si>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</si>
  <si>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</si>
  <si>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</si>
  <si>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</si>
  <si>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</si>
  <si>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</si>
  <si>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</si>
  <si>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</si>
  <si>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</si>
  <si>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</si>
  <si>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</si>
  <si>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</si>
  <si>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</si>
  <si>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</si>
  <si>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</si>
  <si>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</si>
  <si>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</si>
  <si>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</si>
  <si>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</si>
  <si>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</si>
  <si>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</si>
  <si>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</si>
  <si>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</si>
  <si>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</si>
  <si>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</si>
  <si>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</si>
  <si>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</si>
  <si>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</si>
  <si>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</si>
  <si>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</si>
  <si>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</si>
  <si>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</si>
  <si>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</si>
  <si>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</si>
  <si>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</si>
  <si>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</si>
  <si>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</si>
  <si>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</si>
  <si>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</si>
  <si>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</si>
  <si>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</si>
  <si>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</si>
  <si>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</si>
  <si>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</si>
  <si>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</si>
  <si>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</si>
  <si>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</si>
  <si>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</si>
  <si>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</si>
  <si>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</si>
  <si>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</si>
  <si>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</si>
  <si>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</si>
  <si>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</si>
  <si>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</si>
  <si>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</si>
  <si>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</si>
  <si>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</si>
  <si>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</si>
  <si>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</si>
  <si>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</si>
  <si>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</si>
  <si>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</si>
  <si>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</si>
  <si>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</si>
  <si>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</si>
  <si>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</si>
  <si>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</si>
  <si>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</si>
  <si>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</si>
  <si>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</si>
  <si>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</si>
  <si>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</si>
  <si>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</si>
  <si>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</si>
  <si>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</si>
  <si>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</si>
  <si>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</si>
  <si>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</si>
  <si>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</si>
  <si>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</si>
  <si>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</si>
  <si>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</si>
  <si>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</si>
  <si>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</si>
  <si>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</si>
  <si>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</si>
  <si>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</si>
  <si>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</si>
  <si>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</si>
  <si>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</si>
  <si>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</si>
  <si>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</si>
  <si>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</si>
  <si>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</si>
  <si>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</si>
  <si>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</si>
  <si>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</si>
  <si>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</si>
  <si>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</si>
  <si>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</si>
  <si>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</si>
  <si>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</si>
  <si>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</si>
  <si>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</si>
  <si>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</si>
  <si>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</si>
  <si>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</si>
  <si>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</si>
  <si>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</si>
  <si>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</si>
  <si>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</si>
  <si>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</si>
  <si>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</si>
  <si>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</si>
  <si>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</si>
  <si>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</si>
  <si>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</si>
  <si>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</si>
  <si>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</si>
  <si>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</si>
  <si>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</si>
  <si>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</si>
  <si>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</si>
  <si>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</si>
  <si>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</si>
  <si>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</si>
  <si>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</si>
  <si>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</si>
  <si>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</si>
  <si>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</si>
  <si>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</si>
  <si>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</si>
  <si>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</si>
  <si>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</si>
  <si>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</si>
  <si>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</si>
  <si>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</si>
  <si>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</si>
  <si>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</si>
  <si>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</si>
  <si>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</si>
  <si>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</si>
  <si>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</si>
  <si>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</si>
  <si>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</si>
  <si>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</si>
  <si>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</si>
  <si>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</si>
  <si>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</si>
  <si>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</si>
  <si>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</si>
  <si>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</si>
  <si>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</si>
  <si>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</si>
  <si>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</si>
  <si>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</si>
  <si>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</si>
  <si>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</si>
  <si>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</si>
  <si>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</si>
  <si>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</si>
  <si>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</si>
  <si>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</si>
  <si>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</si>
  <si>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</si>
  <si>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</si>
  <si>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</si>
  <si>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</si>
  <si>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</si>
  <si>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</si>
  <si>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</si>
  <si>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</si>
  <si>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</si>
  <si>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</si>
  <si>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</si>
  <si>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</si>
  <si>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</si>
  <si>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</si>
  <si>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</si>
  <si>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</si>
  <si>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</si>
  <si>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</si>
  <si>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</si>
  <si>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</si>
  <si>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</si>
  <si>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</si>
  <si>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</si>
  <si>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</si>
  <si>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</si>
  <si>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</si>
  <si>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</si>
  <si>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</si>
  <si>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</si>
  <si>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</si>
  <si>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</si>
  <si>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</si>
  <si>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</si>
  <si>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</si>
  <si>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</si>
  <si>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</si>
  <si>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</si>
  <si>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</si>
  <si>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</si>
  <si>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</si>
  <si>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</si>
  <si>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</si>
  <si>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</si>
  <si>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</si>
  <si>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</si>
  <si>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</si>
  <si>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</si>
  <si>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</si>
  <si>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</si>
  <si>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</si>
  <si>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</si>
  <si>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</si>
  <si>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</si>
  <si>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</si>
  <si>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</si>
  <si>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</si>
  <si>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</si>
  <si>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</si>
  <si>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</si>
  <si>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</si>
  <si>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</si>
  <si>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</si>
  <si>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</si>
  <si>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</si>
  <si>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</si>
  <si>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</si>
  <si>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</si>
  <si>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</si>
  <si>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</si>
  <si>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</si>
  <si>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</si>
  <si>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</si>
  <si>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</si>
  <si>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</si>
  <si>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</si>
  <si>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</si>
  <si>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</si>
  <si>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</si>
  <si>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</si>
  <si>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</si>
  <si>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</si>
  <si>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</si>
  <si>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</si>
  <si>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</si>
  <si>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</si>
  <si>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</si>
  <si>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</si>
  <si>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</si>
  <si>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</si>
  <si>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</si>
  <si>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</si>
  <si>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</si>
  <si>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</si>
  <si>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</si>
  <si>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</si>
  <si>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</si>
  <si>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</si>
  <si>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</si>
  <si>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</si>
  <si>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</si>
  <si>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</si>
  <si>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</si>
  <si>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</si>
  <si>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</si>
  <si>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</si>
  <si>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</si>
  <si>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</si>
  <si>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</si>
  <si>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</si>
  <si>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</si>
  <si>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</si>
  <si>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</si>
  <si>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</si>
  <si>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</si>
  <si>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</si>
  <si>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</si>
  <si>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</si>
  <si>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</si>
  <si>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</si>
  <si>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</si>
  <si>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</si>
  <si>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</si>
  <si>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</si>
  <si>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</si>
  <si>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</si>
  <si>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</si>
  <si>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</si>
  <si>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</si>
  <si>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</si>
  <si>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</si>
  <si>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</si>
  <si>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</si>
  <si>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</si>
  <si>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</si>
  <si>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</si>
  <si>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</si>
  <si>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</si>
  <si>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</si>
  <si>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</si>
  <si>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</si>
  <si>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</si>
  <si>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</si>
  <si>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</si>
  <si>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</si>
  <si>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</si>
  <si>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</si>
  <si>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</si>
  <si>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</si>
  <si>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</si>
  <si>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</si>
  <si>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</si>
  <si>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</si>
  <si>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</si>
  <si>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</si>
  <si>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</si>
  <si>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</si>
  <si>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</si>
  <si>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</si>
  <si>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</si>
  <si>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</si>
  <si>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</si>
  <si>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</si>
  <si>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</si>
  <si>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</si>
  <si>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</si>
  <si>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</si>
  <si>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</si>
  <si>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</si>
  <si>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</si>
  <si>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</si>
  <si>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</si>
  <si>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</si>
  <si>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</si>
  <si>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</si>
  <si>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</si>
  <si>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</si>
  <si>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</si>
  <si>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</si>
  <si>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</si>
  <si>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</si>
  <si>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</si>
  <si>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</si>
  <si>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</si>
  <si>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</si>
  <si>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</si>
  <si>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</si>
  <si>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</si>
  <si>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</si>
  <si>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</si>
  <si>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</si>
  <si>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</si>
  <si>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</si>
  <si>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</si>
  <si>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</si>
  <si>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</si>
  <si>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</si>
  <si>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</si>
  <si>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</si>
  <si>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</si>
  <si>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</si>
  <si>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</si>
  <si>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</si>
  <si>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</si>
  <si>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</si>
  <si>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</si>
  <si>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</si>
  <si>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</si>
  <si>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</si>
  <si>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</si>
  <si>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</si>
  <si>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</si>
  <si>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</si>
  <si>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</si>
  <si>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</si>
  <si>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</si>
  <si>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</si>
  <si>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</si>
  <si>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</si>
  <si>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</si>
  <si>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</si>
  <si>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</si>
  <si>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</si>
  <si>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</si>
  <si>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</si>
  <si>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</si>
  <si>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</si>
  <si>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</si>
  <si>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</si>
  <si>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</si>
  <si>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</si>
  <si>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</si>
  <si>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</si>
  <si>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</si>
  <si>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</si>
  <si>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</si>
  <si>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</si>
  <si>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</si>
  <si>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</si>
  <si>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</si>
  <si>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</si>
  <si>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</si>
  <si>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</si>
  <si>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</si>
  <si>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</si>
  <si>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</si>
  <si>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</si>
  <si>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</si>
  <si>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</si>
  <si>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</si>
  <si>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</si>
  <si>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</si>
  <si>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</si>
  <si>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</si>
  <si>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</si>
  <si>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</si>
  <si>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</si>
  <si>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</si>
  <si>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</si>
  <si>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</si>
  <si>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</si>
  <si>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</si>
  <si>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</si>
  <si>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</si>
  <si>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</si>
  <si>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</si>
  <si>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</si>
  <si>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</si>
  <si>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</si>
  <si>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</si>
  <si>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</si>
  <si>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</si>
  <si>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</si>
  <si>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</si>
  <si>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</si>
  <si>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</si>
  <si>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</si>
  <si>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</si>
  <si>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</si>
  <si>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</si>
  <si>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</si>
  <si>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</si>
  <si>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</si>
  <si>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</si>
  <si>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</si>
  <si>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</si>
  <si>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</si>
  <si>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</si>
  <si>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</si>
  <si>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</si>
  <si>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</si>
  <si>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</si>
  <si>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</si>
  <si>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</si>
  <si>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</si>
  <si>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</si>
  <si>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</si>
  <si>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</si>
  <si>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</si>
  <si>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</si>
  <si>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</si>
  <si>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</si>
  <si>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</si>
  <si>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</si>
  <si>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</si>
  <si>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</si>
  <si>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</si>
  <si>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</si>
  <si>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</si>
  <si>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</si>
  <si>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</si>
  <si>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</si>
  <si>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</si>
  <si>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</si>
  <si>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</si>
  <si>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</si>
  <si>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</si>
  <si>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</si>
  <si>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</si>
  <si>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</si>
  <si>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</si>
  <si>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</si>
  <si>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</si>
  <si>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</si>
  <si>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</si>
  <si>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</si>
  <si>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</si>
  <si>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</si>
  <si>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</si>
  <si>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</si>
  <si>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</si>
  <si>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</si>
  <si>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</si>
  <si>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</si>
  <si>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</si>
  <si>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</si>
  <si>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</si>
  <si>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</si>
  <si>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</si>
  <si>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</si>
  <si>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</si>
  <si>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</si>
  <si>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</si>
  <si>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</si>
  <si>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</si>
  <si>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</si>
  <si>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</si>
  <si>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</si>
  <si>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</si>
  <si>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</si>
  <si>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</si>
  <si>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</si>
  <si>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</si>
  <si>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</si>
  <si>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</si>
  <si>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</si>
  <si>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</si>
  <si>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</si>
  <si>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</si>
  <si>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</si>
  <si>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</si>
  <si>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</si>
  <si>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</si>
  <si>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</si>
  <si>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</si>
  <si>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</si>
  <si>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</si>
  <si>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</si>
  <si>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</si>
  <si>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</si>
  <si>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</si>
  <si>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</si>
  <si>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</si>
  <si>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</si>
  <si>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</si>
  <si>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</si>
  <si>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</si>
  <si>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</si>
  <si>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</si>
  <si>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</si>
  <si>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</si>
  <si>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</si>
  <si>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</si>
  <si>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</si>
  <si>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</si>
  <si>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</si>
  <si>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</si>
  <si>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</si>
  <si>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</si>
  <si>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</si>
  <si>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</si>
  <si>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</si>
  <si>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</si>
  <si>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</si>
  <si>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</si>
  <si>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</si>
  <si>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</si>
  <si>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</si>
  <si>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</si>
  <si>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</si>
  <si>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</si>
  <si>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</si>
  <si>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</si>
  <si>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</si>
  <si>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</si>
  <si>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</si>
  <si>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</si>
  <si>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</si>
  <si>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</si>
  <si>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</si>
  <si>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</si>
  <si>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</si>
  <si>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</si>
  <si>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</si>
  <si>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</si>
  <si>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</si>
  <si>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</si>
  <si>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</si>
  <si>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</si>
  <si>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</si>
  <si>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</si>
  <si>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</si>
  <si>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</si>
  <si>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</si>
  <si>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</si>
  <si>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</si>
  <si>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</si>
  <si>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</si>
  <si>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</si>
  <si>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</si>
  <si>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</si>
  <si>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</si>
  <si>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</si>
  <si>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</si>
  <si>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</si>
  <si>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</si>
  <si>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</si>
  <si>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</si>
  <si>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</si>
  <si>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</si>
  <si>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</si>
  <si>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</si>
  <si>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</si>
  <si>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</si>
  <si>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</si>
  <si>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</si>
  <si>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</si>
  <si>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</si>
  <si>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</si>
  <si>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</si>
  <si>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</si>
  <si>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</si>
  <si>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</si>
  <si>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</si>
  <si>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</si>
  <si>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</si>
  <si>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</si>
  <si>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</si>
  <si>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</si>
  <si>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</si>
  <si>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</si>
  <si>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</si>
  <si>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</si>
  <si>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</si>
  <si>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</si>
  <si>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</si>
  <si>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</si>
  <si>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</si>
  <si>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</si>
  <si>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</si>
  <si>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</si>
  <si>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</si>
  <si>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</si>
  <si>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</si>
  <si>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</si>
  <si>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</si>
  <si>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</si>
  <si>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</si>
  <si>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</si>
  <si>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</si>
  <si>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</si>
  <si>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</si>
  <si>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</si>
  <si>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</si>
  <si>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</si>
  <si>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</si>
  <si>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</si>
  <si>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</si>
  <si>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</si>
  <si>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</si>
  <si>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</si>
  <si>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</si>
  <si>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</si>
  <si>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</si>
  <si>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</si>
  <si>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</si>
  <si>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</si>
  <si>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</si>
  <si>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</si>
  <si>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</si>
  <si>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</si>
  <si>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</si>
  <si>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</si>
  <si>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</si>
  <si>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</si>
  <si>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</si>
  <si>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</si>
  <si>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</si>
  <si>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</si>
  <si>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</si>
  <si>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</si>
  <si>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</si>
  <si>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</si>
  <si>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</si>
  <si>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</si>
  <si>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</si>
  <si>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</si>
  <si>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</si>
  <si>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</si>
  <si>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</si>
  <si>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</si>
  <si>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</si>
  <si>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</si>
  <si>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</si>
  <si>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</si>
  <si>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</si>
  <si>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</si>
  <si>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</si>
  <si>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</si>
  <si>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</si>
  <si>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</si>
  <si>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</si>
  <si>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</si>
  <si>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</si>
  <si>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</si>
  <si>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</si>
  <si>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</si>
  <si>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</si>
  <si>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</si>
  <si>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</si>
  <si>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</si>
  <si>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</si>
  <si>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</si>
  <si>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</si>
  <si>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</si>
  <si>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</si>
  <si>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</si>
  <si>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</si>
  <si>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</si>
  <si>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</si>
  <si>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</si>
  <si>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</si>
  <si>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</si>
  <si>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</si>
  <si>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</si>
  <si>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</si>
  <si>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</si>
  <si>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</si>
  <si>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</si>
  <si>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</si>
  <si>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</si>
  <si>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</si>
  <si>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</si>
  <si>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</si>
  <si>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</si>
  <si>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</si>
  <si>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</si>
  <si>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</si>
  <si>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</si>
  <si>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</si>
  <si>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</si>
  <si>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</si>
  <si>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</si>
  <si>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</si>
  <si>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</si>
  <si>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</si>
  <si>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</si>
  <si>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</si>
  <si>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</si>
  <si>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</si>
  <si>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</si>
  <si>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</si>
  <si>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</si>
  <si>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</si>
  <si>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</si>
  <si>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</si>
  <si>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</si>
  <si>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</si>
  <si>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</si>
  <si>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</si>
  <si>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</si>
  <si>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</si>
  <si>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</si>
  <si>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</si>
  <si>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</si>
  <si>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</si>
  <si>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</si>
  <si>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</si>
  <si>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</si>
  <si>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</si>
  <si>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</si>
  <si>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</si>
  <si>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</si>
  <si>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</si>
  <si>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</si>
  <si>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</si>
  <si>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</si>
  <si>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</si>
  <si>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</si>
  <si>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</si>
  <si>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</si>
  <si>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</si>
  <si>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</si>
  <si>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</si>
  <si>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</si>
  <si>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</si>
  <si>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</si>
  <si>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</si>
  <si>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</si>
  <si>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</si>
  <si>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</si>
  <si>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</si>
  <si>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</si>
  <si>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</si>
  <si>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</si>
  <si>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</si>
  <si>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</si>
  <si>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</si>
  <si>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</si>
  <si>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</si>
  <si>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</si>
  <si>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</si>
  <si>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</si>
  <si>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</si>
  <si>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</si>
  <si>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</si>
  <si>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</si>
  <si>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</si>
  <si>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</si>
  <si>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</si>
  <si>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</si>
  <si>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</si>
  <si>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</si>
  <si>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</si>
  <si>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</si>
  <si>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</si>
  <si>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</si>
  <si>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</si>
  <si>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</si>
  <si>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</si>
  <si>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</si>
  <si>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</si>
  <si>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</si>
  <si>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</si>
  <si>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</si>
  <si>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</si>
  <si>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</si>
  <si>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</si>
  <si>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</si>
  <si>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</si>
  <si>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</si>
  <si>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</si>
  <si>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</si>
  <si>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</si>
  <si>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</si>
  <si>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</si>
  <si>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</si>
  <si>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</si>
  <si>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</si>
  <si>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</si>
  <si>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</si>
  <si>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</si>
  <si>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</si>
  <si>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</si>
  <si>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</si>
  <si>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</si>
  <si>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</si>
  <si>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</si>
  <si>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</si>
  <si>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</si>
  <si>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</si>
  <si>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</si>
  <si>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</si>
  <si>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</si>
  <si>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</si>
  <si>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</si>
  <si>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</si>
  <si>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</si>
  <si>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</si>
  <si>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</si>
  <si>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</si>
  <si>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</si>
  <si>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</si>
  <si>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</si>
  <si>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</si>
  <si>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</si>
  <si>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</si>
  <si>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</si>
  <si>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</si>
  <si>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</si>
  <si>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</si>
  <si>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</si>
  <si>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</si>
  <si>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</si>
  <si>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</si>
  <si>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</si>
  <si>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</si>
  <si>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</si>
  <si>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</si>
  <si>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</si>
  <si>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</si>
  <si>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</si>
  <si>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</si>
  <si>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</si>
  <si>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</si>
  <si>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</si>
  <si>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</si>
  <si>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</si>
  <si>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</si>
  <si>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</si>
  <si>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</si>
  <si>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</si>
  <si>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</si>
  <si>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</si>
  <si>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</si>
  <si>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</si>
  <si>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</si>
  <si>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</si>
  <si>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</si>
  <si>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</si>
  <si>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</si>
  <si>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</si>
  <si>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</si>
  <si>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</si>
  <si>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</si>
  <si>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</si>
  <si>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</si>
  <si>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</si>
  <si>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</si>
  <si>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</si>
  <si>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</si>
  <si>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</si>
  <si>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</si>
  <si>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</si>
  <si>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</si>
  <si>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</si>
  <si>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</si>
  <si>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</si>
  <si>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</si>
  <si>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</si>
  <si>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</si>
  <si>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</si>
  <si>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</si>
  <si>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</si>
  <si>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</si>
  <si>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</si>
  <si>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</si>
  <si>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</si>
  <si>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</si>
  <si>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</si>
  <si>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</si>
  <si>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</si>
  <si>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</si>
  <si>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</si>
  <si>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</si>
  <si>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</si>
  <si>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</si>
  <si>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</si>
  <si>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</si>
  <si>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</si>
  <si>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</si>
  <si>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</si>
  <si>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</si>
  <si>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</si>
  <si>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</si>
  <si>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</si>
  <si>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</si>
  <si>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</si>
  <si>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</si>
  <si>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</si>
  <si>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</si>
  <si>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</si>
  <si>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</si>
  <si>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</si>
  <si>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</si>
  <si>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</si>
  <si>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</si>
  <si>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</si>
  <si>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</si>
  <si>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</si>
  <si>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</si>
  <si>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</si>
  <si>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</si>
  <si>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</si>
  <si>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</si>
  <si>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</si>
  <si>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</si>
  <si>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</si>
  <si>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</si>
  <si>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</si>
  <si>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</si>
  <si>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</si>
  <si>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</si>
  <si>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2019 Total</t>
  </si>
  <si>
    <t>2020 Total</t>
  </si>
  <si>
    <t>2021 Total</t>
  </si>
  <si>
    <t>2022 Total</t>
  </si>
  <si>
    <t>Arabica</t>
  </si>
  <si>
    <t>Excelsa</t>
  </si>
  <si>
    <t>Liberica</t>
  </si>
  <si>
    <t>Robusta</t>
  </si>
  <si>
    <t>Sum of Sales</t>
  </si>
  <si>
    <t xml:space="preserve"> </t>
  </si>
  <si>
    <t xml:space="preserve">Coffe Sales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</si>
</sst>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quot; kg&quot;"/>
    <numFmt numFmtId="166" formatCode="_-[$£-809]* #,##0.00_-;\-[$£-809]* #,##0.00_-;_-[$£-809]* &quot;-&quot;??_-;_-@_-"/>
    <numFmt numFmtId="167" formatCode="[$£-809]#,##0"/>
  </numFmts>
  <fonts count="3" x14ac:knownFonts="1">
    <font>
      <sz val="11"/>
      <color theme="1"/>
      <name val="Calibri"/>
      <family val="2"/>
      <scheme val="minor"/>
    </font>
    <font>
      <sz val="11"/>
      <color indexed="8"/>
      <name val="Calibri"/>
      <family val="2"/>
    </font>
    <font>
      <sz val="72"/>
      <color theme="0"/>
      <name val="Calibri (Body)"/>
    </font>
  </fonts>
  <fills count="3">
    <fill>
      <patternFill patternType="none"/>
    </fill>
    <fill>
      <patternFill patternType="gray125"/>
    </fill>
    <fill>
      <patternFill patternType="solid">
        <fgColor theme="9"/>
        <bgColor indexed="64"/>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165" fontId="0" fillId="0" borderId="0" xfId="0" applyNumberFormat="1"/>
    <xf numFmtId="166" fontId="0" fillId="0" borderId="0" xfId="0" applyNumberFormat="1"/>
    <xf numFmtId="0" fontId="0" fillId="0" borderId="0" xfId="0" pivotButton="1"/>
    <xf numFmtId="3" fontId="0" fillId="0" borderId="0" xfId="0" applyNumberFormat="1"/>
    <xf numFmtId="167" fontId="0" fillId="0" borderId="0" xfId="0" applyNumberFormat="1"/>
    <xf numFmtId="0" fontId="2" fillId="2" borderId="0" xfId="0" applyFont="1" applyFill="1" applyAlignment="1">
      <alignment horizontal="center"/>
    </xf>
  </cellXfs>
  <cellStyles count="1">
    <cellStyle name="Normal" xfId="0" builtinId="0"/>
  </cellStyles>
  <dxfs count="12">
    <dxf>
      <numFmt numFmtId="0" formatCode="General"/>
    </dxf>
    <dxf>
      <numFmt numFmtId="166" formatCode="_-[$£-809]* #,##0.00_-;\-[$£-809]* #,##0.00_-;_-[$£-809]* &quot;-&quot;??_-;_-@_-"/>
    </dxf>
    <dxf>
      <numFmt numFmtId="166" formatCode="_-[$£-809]* #,##0.00_-;\-[$£-809]* #,##0.00_-;_-[$£-809]* &quot;-&quot;??_-;_-@_-"/>
    </dxf>
    <dxf>
      <numFmt numFmtId="165" formatCode="0.0&quot; 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[coffeeOrder.xlsx]TotalSales!PivotTable1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accent6">
                    <a:lumMod val="50000"/>
                  </a:schemeClr>
                </a:solidFill>
              </a:rPr>
              <a:t>Total Sales</a:t>
            </a:r>
            <a:r>
              <a:rPr lang="en-GB" b="1" baseline="0">
                <a:solidFill>
                  <a:schemeClr val="accent6">
                    <a:lumMod val="50000"/>
                  </a:schemeClr>
                </a:solidFill>
              </a:rPr>
              <a:t> Over Time</a:t>
            </a:r>
            <a:endParaRPr lang="en-GB"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LV"/>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V"/>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V"/>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V"/>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V"/>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V"/>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V"/>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V"/>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V"/>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V"/>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V"/>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V"/>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V"/>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814221601139451E-2"/>
          <c:y val="0.11620795107033639"/>
          <c:w val="0.78199793071941093"/>
          <c:h val="0.76178429531170988"/>
        </c:manualLayout>
      </c:layout>
      <c:lineChart>
        <c:grouping val="standard"/>
        <c:varyColors val="0"/>
        <c:ser>
          <c:idx val="0"/>
          <c:order val="0"/>
          <c:tx>
            <c:strRef>
              <c:f>TotalSales!$C$10:$C$11</c:f>
              <c:strCache>
                <c:ptCount val="1"/>
                <c:pt idx="0">
                  <c:v>Arabica</c:v>
                </c:pt>
              </c:strCache>
            </c:strRef>
          </c:tx>
          <c:spPr>
            <a:ln w="28575" cap="rnd">
              <a:solidFill>
                <a:schemeClr val="accent1"/>
              </a:solidFill>
              <a:round/>
            </a:ln>
            <a:effectLst/>
          </c:spPr>
          <c:marker>
            <c:symbol val="none"/>
          </c:marker>
          <c:cat>
            <c:multiLvlStrRef>
              <c:f>TotalSales!$A$12:$B$59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TotalSales!$C$12:$C$59</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0095-044B-81C0-4AE957DD16B1}"/>
            </c:ext>
          </c:extLst>
        </c:ser>
        <c:ser>
          <c:idx val="1"/>
          <c:order val="1"/>
          <c:tx>
            <c:strRef>
              <c:f>TotalSales!$D$10:$D$11</c:f>
              <c:strCache>
                <c:ptCount val="1"/>
                <c:pt idx="0">
                  <c:v>Excelsa</c:v>
                </c:pt>
              </c:strCache>
            </c:strRef>
          </c:tx>
          <c:spPr>
            <a:ln w="28575" cap="rnd">
              <a:solidFill>
                <a:srgbClr val="7030A0"/>
              </a:solidFill>
              <a:round/>
            </a:ln>
            <a:effectLst/>
          </c:spPr>
          <c:marker>
            <c:symbol val="none"/>
          </c:marker>
          <c:cat>
            <c:multiLvlStrRef>
              <c:f>TotalSales!$A$12:$B$59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TotalSales!$D$12:$D$59</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0095-044B-81C0-4AE957DD16B1}"/>
            </c:ext>
          </c:extLst>
        </c:ser>
        <c:ser>
          <c:idx val="2"/>
          <c:order val="2"/>
          <c:tx>
            <c:strRef>
              <c:f>TotalSales!$E$10:$E$11</c:f>
              <c:strCache>
                <c:ptCount val="1"/>
                <c:pt idx="0">
                  <c:v>Liberica</c:v>
                </c:pt>
              </c:strCache>
            </c:strRef>
          </c:tx>
          <c:spPr>
            <a:ln w="28575" cap="rnd">
              <a:solidFill>
                <a:srgbClr val="FFFF00"/>
              </a:solidFill>
              <a:round/>
            </a:ln>
            <a:effectLst/>
          </c:spPr>
          <c:marker>
            <c:symbol val="none"/>
          </c:marker>
          <c:cat>
            <c:multiLvlStrRef>
              <c:f>TotalSales!$A$12:$B$59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TotalSales!$E$12:$E$59</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0095-044B-81C0-4AE957DD16B1}"/>
            </c:ext>
          </c:extLst>
        </c:ser>
        <c:ser>
          <c:idx val="3"/>
          <c:order val="3"/>
          <c:tx>
            <c:strRef>
              <c:f>TotalSales!$F$10:$F$11</c:f>
              <c:strCache>
                <c:ptCount val="1"/>
                <c:pt idx="0">
                  <c:v>Robusta</c:v>
                </c:pt>
              </c:strCache>
            </c:strRef>
          </c:tx>
          <c:spPr>
            <a:ln w="28575" cap="rnd">
              <a:solidFill>
                <a:srgbClr val="FF0000"/>
              </a:solidFill>
              <a:round/>
            </a:ln>
            <a:effectLst/>
          </c:spPr>
          <c:marker>
            <c:symbol val="none"/>
          </c:marker>
          <c:cat>
            <c:multiLvlStrRef>
              <c:f>TotalSales!$A$12:$B$59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TotalSales!$F$12:$F$59</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0095-044B-81C0-4AE957DD16B1}"/>
            </c:ext>
          </c:extLst>
        </c:ser>
        <c:dLbls>
          <c:showLegendKey val="0"/>
          <c:showVal val="0"/>
          <c:showCatName val="0"/>
          <c:showSerName val="0"/>
          <c:showPercent val="0"/>
          <c:showBubbleSize val="0"/>
        </c:dLbls>
        <c:smooth val="0"/>
        <c:axId val="1979704223"/>
        <c:axId val="2005007759"/>
      </c:lineChart>
      <c:catAx>
        <c:axId val="197970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LV"/>
          </a:p>
        </c:txPr>
        <c:crossAx val="2005007759"/>
        <c:crosses val="autoZero"/>
        <c:auto val="1"/>
        <c:lblAlgn val="ctr"/>
        <c:lblOffset val="100"/>
        <c:noMultiLvlLbl val="0"/>
      </c:catAx>
      <c:valAx>
        <c:axId val="2005007759"/>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solidFill>
                      <a:schemeClr val="accent6">
                        <a:lumMod val="50000"/>
                      </a:schemeClr>
                    </a:solidFill>
                  </a:rPr>
                  <a:t>USD</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LV"/>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accent6">
                    <a:lumMod val="50000"/>
                  </a:schemeClr>
                </a:solidFill>
                <a:latin typeface="+mn-lt"/>
                <a:ea typeface="+mn-ea"/>
                <a:cs typeface="+mn-cs"/>
              </a:defRPr>
            </a:pPr>
            <a:endParaRPr lang="en-LV"/>
          </a:p>
        </c:txPr>
        <c:crossAx val="197970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LV"/>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LV"/>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[coffeeOrder.xlsx]Top5Customers!PivotTable1</c:name>
    <c:fmtId val="9"/>
  </c:pivotSource>
  <c:chart>
    <c:title>
      <c:tx>
        <c:rich>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r>
              <a:rPr lang="en-US" b="1">
                <a:solidFill>
                  <a:schemeClr val="accent6">
                    <a:lumMod val="50000"/>
                  </a:schemeClr>
                </a:solidFill>
              </a:rPr>
              <a:t>Top 5 Customers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endParaRPr lang="en-LV"/>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LV"/>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LV"/>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pivotFmt>
      <c:pivotFmt>
        <c:idx val="5"/>
        <c:spPr>
          <a:solidFill>
            <a:schemeClr val="accent1">
              <a:lumMod val="5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LV"/>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noFill/>
          </a:ln>
          <a:effectLst/>
        </c:spPr>
      </c:pivotFmt>
      <c:pivotFmt>
        <c:idx val="8"/>
        <c:spPr>
          <a:solidFill>
            <a:schemeClr val="accent1">
              <a:lumMod val="5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LV"/>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LV"/>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LV"/>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Top5Customers!$A$11:$A$15</c:f>
              <c:strCache>
                <c:ptCount val="5"/>
                <c:pt idx="0">
                  <c:v>Don Flintiff</c:v>
                </c:pt>
                <c:pt idx="1">
                  <c:v>Nealson Cuttler</c:v>
                </c:pt>
                <c:pt idx="2">
                  <c:v>Terri Farra</c:v>
                </c:pt>
                <c:pt idx="3">
                  <c:v>Brenn Dundredge</c:v>
                </c:pt>
                <c:pt idx="4">
                  <c:v>Allis Wilmore</c:v>
                </c:pt>
              </c:strCache>
            </c:strRef>
          </c:cat>
          <c:val>
            <c:numRef>
              <c:f>Top5Customers!$B$11:$B$15</c:f>
              <c:numCache>
                <c:formatCode>[$£-809]#\ ##0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0DA4-A443-961E-3E376CE0B9BA}"/>
            </c:ext>
          </c:extLst>
        </c:ser>
        <c:dLbls>
          <c:showLegendKey val="0"/>
          <c:showVal val="0"/>
          <c:showCatName val="0"/>
          <c:showSerName val="0"/>
          <c:showPercent val="0"/>
          <c:showBubbleSize val="0"/>
        </c:dLbls>
        <c:gapWidth val="182"/>
        <c:axId val="896487343"/>
        <c:axId val="896489055"/>
      </c:barChart>
      <c:catAx>
        <c:axId val="896487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accent6">
                    <a:lumMod val="50000"/>
                  </a:schemeClr>
                </a:solidFill>
                <a:latin typeface="+mn-lt"/>
                <a:ea typeface="+mn-ea"/>
                <a:cs typeface="+mn-cs"/>
              </a:defRPr>
            </a:pPr>
            <a:endParaRPr lang="en-LV"/>
          </a:p>
        </c:txPr>
        <c:crossAx val="896489055"/>
        <c:crosses val="autoZero"/>
        <c:auto val="1"/>
        <c:lblAlgn val="ctr"/>
        <c:lblOffset val="100"/>
        <c:noMultiLvlLbl val="0"/>
      </c:catAx>
      <c:valAx>
        <c:axId val="896489055"/>
        <c:scaling>
          <c:orientation val="minMax"/>
        </c:scaling>
        <c:delete val="0"/>
        <c:axPos val="b"/>
        <c:majorGridlines>
          <c:spPr>
            <a:ln w="9525" cap="flat" cmpd="sng" algn="ctr">
              <a:solidFill>
                <a:schemeClr val="bg1"/>
              </a:solidFill>
              <a:round/>
            </a:ln>
            <a:effectLst/>
          </c:spPr>
        </c:majorGridlines>
        <c:numFmt formatCode="[$£-809]#\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LV"/>
          </a:p>
        </c:txPr>
        <c:crossAx val="89648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LV"/>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LV"/>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[coffeeOrder.xlsx]CountryBarChart!PivotTable1</c:name>
    <c:fmtId val="9"/>
  </c:pivotSource>
  <c:chart>
    <c:title>
      <c:tx>
        <c:rich>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r>
              <a:rPr lang="en-US" b="1">
                <a:solidFill>
                  <a:schemeClr val="accent6">
                    <a:lumMod val="50000"/>
                  </a:schemeClr>
                </a:solidFill>
              </a:rPr>
              <a:t>Sales By Country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endParaRPr lang="en-LV"/>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LV"/>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LV"/>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pivotFmt>
      <c:pivotFmt>
        <c:idx val="5"/>
        <c:spPr>
          <a:solidFill>
            <a:schemeClr val="accent1">
              <a:lumMod val="5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LV"/>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noFill/>
          </a:ln>
          <a:effectLst/>
        </c:spPr>
      </c:pivotFmt>
      <c:pivotFmt>
        <c:idx val="8"/>
        <c:spPr>
          <a:solidFill>
            <a:schemeClr val="accent1">
              <a:lumMod val="50000"/>
            </a:schemeClr>
          </a:solidFill>
          <a:ln>
            <a:noFill/>
          </a:ln>
          <a:effectLst/>
        </c:spPr>
      </c:pivotFmt>
    </c:pivotFmts>
    <c:plotArea>
      <c:layout/>
      <c:barChart>
        <c:barDir val="bar"/>
        <c:grouping val="clustered"/>
        <c:varyColors val="0"/>
        <c:ser>
          <c:idx val="0"/>
          <c:order val="0"/>
          <c:tx>
            <c:strRef>
              <c:f>CountryBarChart!$B$10</c:f>
              <c:strCache>
                <c:ptCount val="1"/>
                <c:pt idx="0">
                  <c:v>Total</c:v>
                </c:pt>
              </c:strCache>
            </c:strRef>
          </c:tx>
          <c:spPr>
            <a:solidFill>
              <a:schemeClr val="accent1"/>
            </a:solidFill>
            <a:ln>
              <a:noFill/>
            </a:ln>
            <a:effectLst/>
          </c:spPr>
          <c:invertIfNegative val="0"/>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1-F410-6040-BC5C-823937E2A0F2}"/>
              </c:ext>
            </c:extLst>
          </c:dPt>
          <c:dPt>
            <c:idx val="2"/>
            <c:invertIfNegative val="0"/>
            <c:bubble3D val="0"/>
            <c:spPr>
              <a:solidFill>
                <a:schemeClr val="accent1">
                  <a:lumMod val="50000"/>
                </a:schemeClr>
              </a:solidFill>
              <a:ln>
                <a:noFill/>
              </a:ln>
              <a:effectLst/>
            </c:spPr>
            <c:extLst>
              <c:ext xmlns:c16="http://schemas.microsoft.com/office/drawing/2014/chart" uri="{C3380CC4-5D6E-409C-BE32-E72D297353CC}">
                <c16:uniqueId val="{00000003-F410-6040-BC5C-823937E2A0F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LV"/>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CountryBarChart!$A$11:$A$13</c:f>
              <c:strCache>
                <c:ptCount val="3"/>
                <c:pt idx="0">
                  <c:v>United Kingdom</c:v>
                </c:pt>
                <c:pt idx="1">
                  <c:v>Ireland</c:v>
                </c:pt>
                <c:pt idx="2">
                  <c:v>United States</c:v>
                </c:pt>
              </c:strCache>
            </c:strRef>
          </c:cat>
          <c:val>
            <c:numRef>
              <c:f>CountryBarChart!$B$11:$B$13</c:f>
              <c:numCache>
                <c:formatCode>[$£-809]#\ ##0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F410-6040-BC5C-823937E2A0F2}"/>
            </c:ext>
          </c:extLst>
        </c:ser>
        <c:dLbls>
          <c:showLegendKey val="0"/>
          <c:showVal val="0"/>
          <c:showCatName val="0"/>
          <c:showSerName val="0"/>
          <c:showPercent val="0"/>
          <c:showBubbleSize val="0"/>
        </c:dLbls>
        <c:gapWidth val="182"/>
        <c:axId val="896487343"/>
        <c:axId val="896489055"/>
      </c:barChart>
      <c:catAx>
        <c:axId val="896487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accent6">
                    <a:lumMod val="50000"/>
                  </a:schemeClr>
                </a:solidFill>
                <a:latin typeface="+mn-lt"/>
                <a:ea typeface="+mn-ea"/>
                <a:cs typeface="+mn-cs"/>
              </a:defRPr>
            </a:pPr>
            <a:endParaRPr lang="en-LV"/>
          </a:p>
        </c:txPr>
        <c:crossAx val="896489055"/>
        <c:crosses val="autoZero"/>
        <c:auto val="1"/>
        <c:lblAlgn val="ctr"/>
        <c:lblOffset val="100"/>
        <c:noMultiLvlLbl val="0"/>
      </c:catAx>
      <c:valAx>
        <c:axId val="896489055"/>
        <c:scaling>
          <c:orientation val="minMax"/>
        </c:scaling>
        <c:delete val="0"/>
        <c:axPos val="b"/>
        <c:majorGridlines>
          <c:spPr>
            <a:ln w="9525" cap="flat" cmpd="sng" algn="ctr">
              <a:solidFill>
                <a:schemeClr val="bg1"/>
              </a:solidFill>
              <a:round/>
            </a:ln>
            <a:effectLst/>
          </c:spPr>
        </c:majorGridlines>
        <c:numFmt formatCode="[$£-809]#\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LV"/>
          </a:p>
        </c:txPr>
        <c:crossAx val="89648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LV"/>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LV"/>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[coffeeOrder.xlsx]Top5Customers!PivotTable1</c:name>
    <c:fmtId val="7"/>
  </c:pivotSource>
  <c:chart>
    <c:title>
      <c:tx>
        <c:rich>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r>
              <a:rPr lang="en-US" b="1">
                <a:solidFill>
                  <a:schemeClr val="accent6">
                    <a:lumMod val="50000"/>
                  </a:schemeClr>
                </a:solidFill>
              </a:rPr>
              <a:t>Top 5 Customers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endParaRPr lang="en-LV"/>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LV"/>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LV"/>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pivotFmt>
      <c:pivotFmt>
        <c:idx val="5"/>
        <c:spPr>
          <a:solidFill>
            <a:schemeClr val="accent1">
              <a:lumMod val="5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LV"/>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noFill/>
          </a:ln>
          <a:effectLst/>
        </c:spPr>
      </c:pivotFmt>
      <c:pivotFmt>
        <c:idx val="8"/>
        <c:spPr>
          <a:solidFill>
            <a:schemeClr val="accent1">
              <a:lumMod val="50000"/>
            </a:schemeClr>
          </a:solidFill>
          <a:ln>
            <a:noFill/>
          </a:ln>
          <a:effectLst/>
        </c:spPr>
      </c:pivotFmt>
    </c:pivotFmts>
    <c:plotArea>
      <c:layout/>
      <c:barChart>
        <c:barDir val="bar"/>
        <c:grouping val="clustered"/>
        <c:varyColors val="0"/>
        <c:ser>
          <c:idx val="0"/>
          <c:order val="0"/>
          <c:tx>
            <c:strRef>
              <c:f>Top5Customers!$B$10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LV"/>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Top5Customers!$A$11:$A$15</c:f>
              <c:strCache>
                <c:ptCount val="5"/>
                <c:pt idx="0">
                  <c:v>Don Flintiff</c:v>
                </c:pt>
                <c:pt idx="1">
                  <c:v>Nealson Cuttler</c:v>
                </c:pt>
                <c:pt idx="2">
                  <c:v>Terri Farra</c:v>
                </c:pt>
                <c:pt idx="3">
                  <c:v>Brenn Dundredge</c:v>
                </c:pt>
                <c:pt idx="4">
                  <c:v>Allis Wilmore</c:v>
                </c:pt>
              </c:strCache>
            </c:strRef>
          </c:cat>
          <c:val>
            <c:numRef>
              <c:f>Top5Customers!$B$11:$B$15</c:f>
              <c:numCache>
                <c:formatCode>[$£-809]#\ ##0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9-CBE3-2743-A67E-AB3B8FEAA9B4}"/>
            </c:ext>
          </c:extLst>
        </c:ser>
        <c:dLbls>
          <c:showLegendKey val="0"/>
          <c:showVal val="0"/>
          <c:showCatName val="0"/>
          <c:showSerName val="0"/>
          <c:showPercent val="0"/>
          <c:showBubbleSize val="0"/>
        </c:dLbls>
        <c:gapWidth val="182"/>
        <c:axId val="896487343"/>
        <c:axId val="896489055"/>
      </c:barChart>
      <c:catAx>
        <c:axId val="896487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accent6">
                    <a:lumMod val="50000"/>
                  </a:schemeClr>
                </a:solidFill>
                <a:latin typeface="+mn-lt"/>
                <a:ea typeface="+mn-ea"/>
                <a:cs typeface="+mn-cs"/>
              </a:defRPr>
            </a:pPr>
            <a:endParaRPr lang="en-LV"/>
          </a:p>
        </c:txPr>
        <c:crossAx val="896489055"/>
        <c:crosses val="autoZero"/>
        <c:auto val="1"/>
        <c:lblAlgn val="ctr"/>
        <c:lblOffset val="100"/>
        <c:noMultiLvlLbl val="0"/>
      </c:catAx>
      <c:valAx>
        <c:axId val="896489055"/>
        <c:scaling>
          <c:orientation val="minMax"/>
        </c:scaling>
        <c:delete val="0"/>
        <c:axPos val="b"/>
        <c:majorGridlines>
          <c:spPr>
            <a:ln w="9525" cap="flat" cmpd="sng" algn="ctr">
              <a:solidFill>
                <a:schemeClr val="bg1"/>
              </a:solidFill>
              <a:round/>
            </a:ln>
            <a:effectLst/>
          </c:spPr>
        </c:majorGridlines>
        <c:numFmt formatCode="[$£-809]#\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LV"/>
          </a:p>
        </c:txPr>
        <c:crossAx val="89648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LV"/>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LV"/>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[coffeeOrder.xlsx]CountryBarChart!PivotTable1</c:name>
    <c:fmtId val="5"/>
  </c:pivotSource>
  <c:chart>
    <c:title>
      <c:tx>
        <c:rich>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r>
              <a:rPr lang="en-US" b="1">
                <a:solidFill>
                  <a:schemeClr val="accent6">
                    <a:lumMod val="50000"/>
                  </a:schemeClr>
                </a:solidFill>
              </a:rPr>
              <a:t>Sales By Country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endParaRPr lang="en-LV"/>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LV"/>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s>
    <c:plotArea>
      <c:layout/>
      <c:barChart>
        <c:barDir val="bar"/>
        <c:grouping val="clustered"/>
        <c:varyColors val="0"/>
        <c:ser>
          <c:idx val="0"/>
          <c:order val="0"/>
          <c:tx>
            <c:strRef>
              <c:f>CountryBarChart!$B$10</c:f>
              <c:strCache>
                <c:ptCount val="1"/>
                <c:pt idx="0">
                  <c:v>Total</c:v>
                </c:pt>
              </c:strCache>
            </c:strRef>
          </c:tx>
          <c:spPr>
            <a:solidFill>
              <a:schemeClr val="accent1"/>
            </a:solidFill>
            <a:ln>
              <a:noFill/>
            </a:ln>
            <a:effectLst/>
          </c:spPr>
          <c:invertIfNegative val="0"/>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1-4707-DC43-A7CC-DC289AA24F50}"/>
              </c:ext>
            </c:extLst>
          </c:dPt>
          <c:dPt>
            <c:idx val="2"/>
            <c:invertIfNegative val="0"/>
            <c:bubble3D val="0"/>
            <c:spPr>
              <a:solidFill>
                <a:schemeClr val="accent1">
                  <a:lumMod val="50000"/>
                </a:schemeClr>
              </a:solidFill>
              <a:ln>
                <a:noFill/>
              </a:ln>
              <a:effectLst/>
            </c:spPr>
            <c:extLst>
              <c:ext xmlns:c16="http://schemas.microsoft.com/office/drawing/2014/chart" uri="{C3380CC4-5D6E-409C-BE32-E72D297353CC}">
                <c16:uniqueId val="{00000002-142A-E146-95EB-D089DF2D6A9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LV"/>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CountryBarChart!$A$11:$A$13</c:f>
              <c:strCache>
                <c:ptCount val="3"/>
                <c:pt idx="0">
                  <c:v>United Kingdom</c:v>
                </c:pt>
                <c:pt idx="1">
                  <c:v>Ireland</c:v>
                </c:pt>
                <c:pt idx="2">
                  <c:v>United States</c:v>
                </c:pt>
              </c:strCache>
            </c:strRef>
          </c:cat>
          <c:val>
            <c:numRef>
              <c:f>CountryBarChart!$B$11:$B$13</c:f>
              <c:numCache>
                <c:formatCode>[$£-809]#\ ##0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142A-E146-95EB-D089DF2D6A99}"/>
            </c:ext>
          </c:extLst>
        </c:ser>
        <c:dLbls>
          <c:showLegendKey val="0"/>
          <c:showVal val="0"/>
          <c:showCatName val="0"/>
          <c:showSerName val="0"/>
          <c:showPercent val="0"/>
          <c:showBubbleSize val="0"/>
        </c:dLbls>
        <c:gapWidth val="182"/>
        <c:axId val="896487343"/>
        <c:axId val="896489055"/>
      </c:barChart>
      <c:catAx>
        <c:axId val="896487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accent6">
                    <a:lumMod val="50000"/>
                  </a:schemeClr>
                </a:solidFill>
                <a:latin typeface="+mn-lt"/>
                <a:ea typeface="+mn-ea"/>
                <a:cs typeface="+mn-cs"/>
              </a:defRPr>
            </a:pPr>
            <a:endParaRPr lang="en-LV"/>
          </a:p>
        </c:txPr>
        <c:crossAx val="896489055"/>
        <c:crosses val="autoZero"/>
        <c:auto val="1"/>
        <c:lblAlgn val="ctr"/>
        <c:lblOffset val="100"/>
        <c:noMultiLvlLbl val="0"/>
      </c:catAx>
      <c:valAx>
        <c:axId val="896489055"/>
        <c:scaling>
          <c:orientation val="minMax"/>
        </c:scaling>
        <c:delete val="0"/>
        <c:axPos val="b"/>
        <c:majorGridlines>
          <c:spPr>
            <a:ln w="9525" cap="flat" cmpd="sng" algn="ctr">
              <a:solidFill>
                <a:schemeClr val="bg1"/>
              </a:solidFill>
              <a:round/>
            </a:ln>
            <a:effectLst/>
          </c:spPr>
        </c:majorGridlines>
        <c:numFmt formatCode="[$£-809]#\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LV"/>
          </a:p>
        </c:txPr>
        <c:crossAx val="89648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LV"/>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LV"/>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[coffeeOrder.xlsx]TotalSales!PivotTable1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accent6">
                    <a:lumMod val="50000"/>
                  </a:schemeClr>
                </a:solidFill>
              </a:rPr>
              <a:t>Total Sales</a:t>
            </a:r>
            <a:r>
              <a:rPr lang="en-GB" b="1" baseline="0">
                <a:solidFill>
                  <a:schemeClr val="accent6">
                    <a:lumMod val="50000"/>
                  </a:schemeClr>
                </a:solidFill>
              </a:rPr>
              <a:t> Over Time</a:t>
            </a:r>
            <a:endParaRPr lang="en-GB"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LV"/>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V"/>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V"/>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V"/>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V"/>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814221601139451E-2"/>
          <c:y val="0.11620795107033639"/>
          <c:w val="0.78199793071941093"/>
          <c:h val="0.76178429531170988"/>
        </c:manualLayout>
      </c:layout>
      <c:lineChart>
        <c:grouping val="standard"/>
        <c:varyColors val="0"/>
        <c:ser>
          <c:idx val="0"/>
          <c:order val="0"/>
          <c:tx>
            <c:strRef>
              <c:f>TotalSales!$C$10:$C$11</c:f>
              <c:strCache>
                <c:ptCount val="1"/>
                <c:pt idx="0">
                  <c:v>Arabica</c:v>
                </c:pt>
              </c:strCache>
            </c:strRef>
          </c:tx>
          <c:spPr>
            <a:ln w="28575" cap="rnd">
              <a:solidFill>
                <a:schemeClr val="accent1"/>
              </a:solidFill>
              <a:round/>
            </a:ln>
            <a:effectLst/>
          </c:spPr>
          <c:marker>
            <c:symbol val="none"/>
          </c:marker>
          <c:cat>
            <c:multiLvlStrRef>
              <c:f>TotalSales!$A$12:$B$59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TotalSales!$C$12:$C$59</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7A2D-BF49-B480-BA002A6BEB3F}"/>
            </c:ext>
          </c:extLst>
        </c:ser>
        <c:ser>
          <c:idx val="1"/>
          <c:order val="1"/>
          <c:tx>
            <c:strRef>
              <c:f>TotalSales!$D$10:$D$11</c:f>
              <c:strCache>
                <c:ptCount val="1"/>
                <c:pt idx="0">
                  <c:v>Excelsa</c:v>
                </c:pt>
              </c:strCache>
            </c:strRef>
          </c:tx>
          <c:spPr>
            <a:ln w="28575" cap="rnd">
              <a:solidFill>
                <a:srgbClr val="7030A0"/>
              </a:solidFill>
              <a:round/>
            </a:ln>
            <a:effectLst/>
          </c:spPr>
          <c:marker>
            <c:symbol val="none"/>
          </c:marker>
          <c:cat>
            <c:multiLvlStrRef>
              <c:f>TotalSales!$A$12:$B$59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TotalSales!$D$12:$D$59</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7A2D-BF49-B480-BA002A6BEB3F}"/>
            </c:ext>
          </c:extLst>
        </c:ser>
        <c:ser>
          <c:idx val="2"/>
          <c:order val="2"/>
          <c:tx>
            <c:strRef>
              <c:f>TotalSales!$E$10:$E$11</c:f>
              <c:strCache>
                <c:ptCount val="1"/>
                <c:pt idx="0">
                  <c:v>Liberica</c:v>
                </c:pt>
              </c:strCache>
            </c:strRef>
          </c:tx>
          <c:spPr>
            <a:ln w="28575" cap="rnd">
              <a:solidFill>
                <a:srgbClr val="FFFF00"/>
              </a:solidFill>
              <a:round/>
            </a:ln>
            <a:effectLst/>
          </c:spPr>
          <c:marker>
            <c:symbol val="none"/>
          </c:marker>
          <c:cat>
            <c:multiLvlStrRef>
              <c:f>TotalSales!$A$12:$B$59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TotalSales!$E$12:$E$59</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7A2D-BF49-B480-BA002A6BEB3F}"/>
            </c:ext>
          </c:extLst>
        </c:ser>
        <c:ser>
          <c:idx val="3"/>
          <c:order val="3"/>
          <c:tx>
            <c:strRef>
              <c:f>TotalSales!$F$10:$F$11</c:f>
              <c:strCache>
                <c:ptCount val="1"/>
                <c:pt idx="0">
                  <c:v>Robusta</c:v>
                </c:pt>
              </c:strCache>
            </c:strRef>
          </c:tx>
          <c:spPr>
            <a:ln w="28575" cap="rnd">
              <a:solidFill>
                <a:srgbClr val="FF0000"/>
              </a:solidFill>
              <a:round/>
            </a:ln>
            <a:effectLst/>
          </c:spPr>
          <c:marker>
            <c:symbol val="none"/>
          </c:marker>
          <c:cat>
            <c:multiLvlStrRef>
              <c:f>TotalSales!$A$12:$B$59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TotalSales!$F$12:$F$59</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7A2D-BF49-B480-BA002A6BEB3F}"/>
            </c:ext>
          </c:extLst>
        </c:ser>
        <c:dLbls>
          <c:showLegendKey val="0"/>
          <c:showVal val="0"/>
          <c:showCatName val="0"/>
          <c:showSerName val="0"/>
          <c:showPercent val="0"/>
          <c:showBubbleSize val="0"/>
        </c:dLbls>
        <c:smooth val="0"/>
        <c:axId val="1979704223"/>
        <c:axId val="2005007759"/>
      </c:lineChart>
      <c:catAx>
        <c:axId val="197970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LV"/>
          </a:p>
        </c:txPr>
        <c:crossAx val="2005007759"/>
        <c:crosses val="autoZero"/>
        <c:auto val="1"/>
        <c:lblAlgn val="ctr"/>
        <c:lblOffset val="100"/>
        <c:noMultiLvlLbl val="0"/>
      </c:catAx>
      <c:valAx>
        <c:axId val="2005007759"/>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solidFill>
                      <a:schemeClr val="accent6">
                        <a:lumMod val="50000"/>
                      </a:schemeClr>
                    </a:solidFill>
                  </a:rPr>
                  <a:t>USD</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LV"/>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accent6">
                    <a:lumMod val="50000"/>
                  </a:schemeClr>
                </a:solidFill>
                <a:latin typeface="+mn-lt"/>
                <a:ea typeface="+mn-ea"/>
                <a:cs typeface="+mn-cs"/>
              </a:defRPr>
            </a:pPr>
            <a:endParaRPr lang="en-LV"/>
          </a:p>
        </c:txPr>
        <c:crossAx val="197970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LV"/>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LV"/>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13</xdr:col>
      <xdr:colOff>12700</xdr:colOff>
      <xdr:row>14</xdr:row>
      <xdr:rowOff>177800</xdr:rowOff>
    </xdr:to>
    <mc:AlternateContent xmlns:mc="http://schemas.openxmlformats.org/markup-compatibility/2006" xmlns:tsle="http://schemas.microsoft.com/office/drawing/2012/timeslicer">
      <mc:Choice Requires="tsle">
        <xdr:graphicFrame macro="">
          <xdr:nvGraphicFramePr>
            <xdr:cNvPr id="2" name="Order Date 1">
              <a:extLst>
                <a:ext uri="{FF2B5EF4-FFF2-40B4-BE49-F238E27FC236}">
                  <a16:creationId xmlns:a16="http://schemas.microsoft.com/office/drawing/2014/main" id="{04CD75A4-E092-9647-9645-F6EDDB77418E}"/>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0" y="1154545"/>
              <a:ext cx="10769215" cy="1717194"/>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0</xdr:col>
      <xdr:colOff>38099</xdr:colOff>
      <xdr:row>15</xdr:row>
      <xdr:rowOff>12700</xdr:rowOff>
    </xdr:from>
    <xdr:to>
      <xdr:col>11</xdr:col>
      <xdr:colOff>27311</xdr:colOff>
      <xdr:row>36</xdr:row>
      <xdr:rowOff>165100</xdr:rowOff>
    </xdr:to>
    <xdr:graphicFrame macro="">
      <xdr:nvGraphicFramePr>
        <xdr:cNvPr id="3" name="Chart 2">
          <a:extLst>
            <a:ext uri="{FF2B5EF4-FFF2-40B4-BE49-F238E27FC236}">
              <a16:creationId xmlns:a16="http://schemas.microsoft.com/office/drawing/2014/main" id="{CA9E48C3-FD14-CC40-B444-37D1506C22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18716</xdr:colOff>
      <xdr:row>6</xdr:row>
      <xdr:rowOff>11363</xdr:rowOff>
    </xdr:from>
    <xdr:to>
      <xdr:col>19</xdr:col>
      <xdr:colOff>815474</xdr:colOff>
      <xdr:row>10</xdr:row>
      <xdr:rowOff>36763</xdr:rowOff>
    </xdr:to>
    <mc:AlternateContent xmlns:mc="http://schemas.openxmlformats.org/markup-compatibility/2006" xmlns:a14="http://schemas.microsoft.com/office/drawing/2010/main">
      <mc:Choice Requires="a14">
        <xdr:graphicFrame macro="">
          <xdr:nvGraphicFramePr>
            <xdr:cNvPr id="7" name="Roast Type Name 1">
              <a:extLst>
                <a:ext uri="{FF2B5EF4-FFF2-40B4-BE49-F238E27FC236}">
                  <a16:creationId xmlns:a16="http://schemas.microsoft.com/office/drawing/2014/main" id="{B3A180A2-4924-144D-9395-34DBAA1C8B0B}"/>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0775231" y="1165908"/>
              <a:ext cx="5761304" cy="79509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20053</xdr:colOff>
      <xdr:row>10</xdr:row>
      <xdr:rowOff>42778</xdr:rowOff>
    </xdr:from>
    <xdr:to>
      <xdr:col>16</xdr:col>
      <xdr:colOff>6016</xdr:colOff>
      <xdr:row>14</xdr:row>
      <xdr:rowOff>187158</xdr:rowOff>
    </xdr:to>
    <mc:AlternateContent xmlns:mc="http://schemas.openxmlformats.org/markup-compatibility/2006" xmlns:a14="http://schemas.microsoft.com/office/drawing/2010/main">
      <mc:Choice Requires="a14">
        <xdr:graphicFrame macro="">
          <xdr:nvGraphicFramePr>
            <xdr:cNvPr id="8" name="Loyalty Card 1">
              <a:extLst>
                <a:ext uri="{FF2B5EF4-FFF2-40B4-BE49-F238E27FC236}">
                  <a16:creationId xmlns:a16="http://schemas.microsoft.com/office/drawing/2014/main" id="{A30FAE47-6DC1-BE4D-9054-89C883970B4C}"/>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0776568" y="1967020"/>
              <a:ext cx="2468236" cy="91407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4679</xdr:colOff>
      <xdr:row>10</xdr:row>
      <xdr:rowOff>40104</xdr:rowOff>
    </xdr:from>
    <xdr:to>
      <xdr:col>19</xdr:col>
      <xdr:colOff>808790</xdr:colOff>
      <xdr:row>14</xdr:row>
      <xdr:rowOff>187157</xdr:rowOff>
    </xdr:to>
    <mc:AlternateContent xmlns:mc="http://schemas.openxmlformats.org/markup-compatibility/2006" xmlns:a14="http://schemas.microsoft.com/office/drawing/2010/main">
      <mc:Choice Requires="a14">
        <xdr:graphicFrame macro="">
          <xdr:nvGraphicFramePr>
            <xdr:cNvPr id="9" name="Size 1">
              <a:extLst>
                <a:ext uri="{FF2B5EF4-FFF2-40B4-BE49-F238E27FC236}">
                  <a16:creationId xmlns:a16="http://schemas.microsoft.com/office/drawing/2014/main" id="{1F2E0E4D-A101-5448-BED0-B25806EBD930}"/>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3243467" y="1964346"/>
              <a:ext cx="3286384" cy="9167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477958</xdr:colOff>
      <xdr:row>23</xdr:row>
      <xdr:rowOff>13656</xdr:rowOff>
    </xdr:from>
    <xdr:to>
      <xdr:col>20</xdr:col>
      <xdr:colOff>13656</xdr:colOff>
      <xdr:row>37</xdr:row>
      <xdr:rowOff>31887</xdr:rowOff>
    </xdr:to>
    <xdr:graphicFrame macro="">
      <xdr:nvGraphicFramePr>
        <xdr:cNvPr id="10" name="Chart 9">
          <a:extLst>
            <a:ext uri="{FF2B5EF4-FFF2-40B4-BE49-F238E27FC236}">
              <a16:creationId xmlns:a16="http://schemas.microsoft.com/office/drawing/2014/main" id="{4D6FCB07-5F41-5A4C-916E-A53009E319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488336</xdr:colOff>
      <xdr:row>15</xdr:row>
      <xdr:rowOff>13657</xdr:rowOff>
    </xdr:from>
    <xdr:to>
      <xdr:col>20</xdr:col>
      <xdr:colOff>0</xdr:colOff>
      <xdr:row>22</xdr:row>
      <xdr:rowOff>76200</xdr:rowOff>
    </xdr:to>
    <xdr:graphicFrame macro="">
      <xdr:nvGraphicFramePr>
        <xdr:cNvPr id="11" name="Chart 10">
          <a:extLst>
            <a:ext uri="{FF2B5EF4-FFF2-40B4-BE49-F238E27FC236}">
              <a16:creationId xmlns:a16="http://schemas.microsoft.com/office/drawing/2014/main" id="{59EB739C-A935-4347-993F-011BEE8A40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xdr:colOff>
      <xdr:row>7</xdr:row>
      <xdr:rowOff>184150</xdr:rowOff>
    </xdr:from>
    <xdr:to>
      <xdr:col>12</xdr:col>
      <xdr:colOff>12700</xdr:colOff>
      <xdr:row>25</xdr:row>
      <xdr:rowOff>50800</xdr:rowOff>
    </xdr:to>
    <xdr:graphicFrame macro="">
      <xdr:nvGraphicFramePr>
        <xdr:cNvPr id="2" name="Chart 1">
          <a:extLst>
            <a:ext uri="{FF2B5EF4-FFF2-40B4-BE49-F238E27FC236}">
              <a16:creationId xmlns:a16="http://schemas.microsoft.com/office/drawing/2014/main" id="{8FE588AE-FC90-8644-816F-545C07F55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38100</xdr:colOff>
      <xdr:row>7</xdr:row>
      <xdr:rowOff>184150</xdr:rowOff>
    </xdr:from>
    <xdr:to>
      <xdr:col>12</xdr:col>
      <xdr:colOff>12700</xdr:colOff>
      <xdr:row>25</xdr:row>
      <xdr:rowOff>50800</xdr:rowOff>
    </xdr:to>
    <xdr:graphicFrame macro="">
      <xdr:nvGraphicFramePr>
        <xdr:cNvPr id="7" name="Chart 6">
          <a:extLst>
            <a:ext uri="{FF2B5EF4-FFF2-40B4-BE49-F238E27FC236}">
              <a16:creationId xmlns:a16="http://schemas.microsoft.com/office/drawing/2014/main" id="{B8D0692F-81D5-B779-2220-C6A8BA327B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50800</xdr:colOff>
      <xdr:row>16</xdr:row>
      <xdr:rowOff>38100</xdr:rowOff>
    </xdr:from>
    <xdr:to>
      <xdr:col>16</xdr:col>
      <xdr:colOff>63500</xdr:colOff>
      <xdr:row>38</xdr:row>
      <xdr:rowOff>0</xdr:rowOff>
    </xdr:to>
    <xdr:graphicFrame macro="">
      <xdr:nvGraphicFramePr>
        <xdr:cNvPr id="2" name="Chart 1">
          <a:extLst>
            <a:ext uri="{FF2B5EF4-FFF2-40B4-BE49-F238E27FC236}">
              <a16:creationId xmlns:a16="http://schemas.microsoft.com/office/drawing/2014/main" id="{B8A794A7-5DB8-A782-31FC-04C7801F0E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50800</xdr:colOff>
      <xdr:row>9</xdr:row>
      <xdr:rowOff>25400</xdr:rowOff>
    </xdr:from>
    <xdr:to>
      <xdr:col>16</xdr:col>
      <xdr:colOff>38100</xdr:colOff>
      <xdr:row>16</xdr:row>
      <xdr:rowOff>12700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8A36454C-99DF-16A0-209B-D58723D86A50}"/>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6197600" y="1739900"/>
              <a:ext cx="7416800" cy="13208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16</xdr:col>
      <xdr:colOff>127000</xdr:colOff>
      <xdr:row>19</xdr:row>
      <xdr:rowOff>38101</xdr:rowOff>
    </xdr:from>
    <xdr:to>
      <xdr:col>18</xdr:col>
      <xdr:colOff>304800</xdr:colOff>
      <xdr:row>27</xdr:row>
      <xdr:rowOff>88900</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6605F67A-9D71-ED84-9DBF-9A63167F3BAA}"/>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3703300" y="3657601"/>
              <a:ext cx="1828800" cy="15747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165100</xdr:colOff>
      <xdr:row>6</xdr:row>
      <xdr:rowOff>1</xdr:rowOff>
    </xdr:from>
    <xdr:to>
      <xdr:col>19</xdr:col>
      <xdr:colOff>101600</xdr:colOff>
      <xdr:row>9</xdr:row>
      <xdr:rowOff>88900</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2D69534D-B2A4-1F7A-395B-F509BB432B37}"/>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3741400" y="1143001"/>
              <a:ext cx="2413000" cy="6603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127000</xdr:colOff>
      <xdr:row>12</xdr:row>
      <xdr:rowOff>25401</xdr:rowOff>
    </xdr:from>
    <xdr:to>
      <xdr:col>18</xdr:col>
      <xdr:colOff>304800</xdr:colOff>
      <xdr:row>17</xdr:row>
      <xdr:rowOff>177800</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B299893E-D0FC-9E86-D633-E45A847E271F}"/>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3703300" y="2311401"/>
              <a:ext cx="1828800" cy="11048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st" refreshedDate="45743.627546527779" createdVersion="8" refreshedVersion="8" minRefreshableVersion="3" recordCount="1000" xr:uid="{FBB3BAA8-C758-BE45-9EED-46758E885416}">
  <cacheSource type="worksheet">
    <worksheetSource name="orders"/>
  </cacheSource>
  <cacheFields count="19">
    <cacheField name="Order ID" numFmtId="0">
      <sharedItems/>
    </cacheField>
    <cacheField name="Order Date" numFmtId="1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8"/>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5">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Quarters (Order Date)" numFmtId="0" databaseField="0">
      <fieldGroup base="1">
        <rangePr groupBy="quarters" startDate="2019-01-02T00:00:00" endDate="2022-08-20T00:00:00"/>
        <groupItems count="6">
          <s v="&lt;02/01/2019"/>
          <s v="Qtr1"/>
          <s v="Qtr2"/>
          <s v="Qtr3"/>
          <s v="Qtr4"/>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2445167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17A6C4-31E4-494A-BF5B-00B6195CE95A}" name="PivotTable1" cacheId="2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10:B15" firstHeaderRow="1" firstDataRow="1" firstDataCol="1"/>
  <pivotFields count="19">
    <pivotField compact="0" outline="0" showAll="0"/>
    <pivotField compact="0" numFmtId="14"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5" outline="0" showAll="0">
      <items count="5">
        <item x="3"/>
        <item x="1"/>
        <item x="0"/>
        <item x="2"/>
        <item t="default"/>
      </items>
    </pivotField>
    <pivotField compact="0" numFmtId="166" outline="0" showAll="0"/>
    <pivotField dataField="1" compact="0" numFmtId="166"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1">
    <field x="5"/>
  </rowFields>
  <rowItems count="5">
    <i>
      <x v="255"/>
    </i>
    <i>
      <x v="646"/>
    </i>
    <i>
      <x v="831"/>
    </i>
    <i>
      <x v="125"/>
    </i>
    <i>
      <x v="28"/>
    </i>
  </rowItems>
  <colItems count="1">
    <i/>
  </colItems>
  <dataFields count="1">
    <dataField name="Sum of Sales" fld="12" baseField="0" baseItem="0" numFmtId="167"/>
  </dataFields>
  <chartFormats count="4">
    <chartFormat chart="4" format="13"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9" format="1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09EA84-3395-E441-8A41-5515B8D1035A}" name="PivotTable1" cacheId="2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10:B13" firstHeaderRow="1" firstDataRow="1" firstDataCol="1"/>
  <pivotFields count="19">
    <pivotField compact="0" outline="0" showAll="0"/>
    <pivotField compact="0" numFmtId="14"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5" outline="0" showAll="0">
      <items count="5">
        <item x="3"/>
        <item x="1"/>
        <item x="0"/>
        <item x="2"/>
        <item t="default"/>
      </items>
    </pivotField>
    <pivotField compact="0" numFmtId="166" outline="0" showAll="0"/>
    <pivotField dataField="1" compact="0" numFmtId="166"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1">
    <field x="7"/>
  </rowFields>
  <rowItems count="3">
    <i>
      <x v="1"/>
    </i>
    <i>
      <x/>
    </i>
    <i>
      <x v="2"/>
    </i>
  </rowItems>
  <colItems count="1">
    <i/>
  </colItems>
  <dataFields count="1">
    <dataField name="Sum of Sales" fld="12" baseField="0" baseItem="0" numFmtId="167"/>
  </dataFields>
  <chartFormats count="12">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7" count="1" selected="0">
            <x v="0"/>
          </reference>
        </references>
      </pivotArea>
    </chartFormat>
    <chartFormat chart="7" format="8">
      <pivotArea type="data" outline="0" fieldPosition="0">
        <references count="2">
          <reference field="4294967294" count="1" selected="0">
            <x v="0"/>
          </reference>
          <reference field="7" count="1" selected="0">
            <x v="2"/>
          </reference>
        </references>
      </pivotArea>
    </chartFormat>
    <chartFormat chart="8" format="3"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7" count="1" selected="0">
            <x v="0"/>
          </reference>
        </references>
      </pivotArea>
    </chartFormat>
    <chartFormat chart="8" format="5">
      <pivotArea type="data" outline="0" fieldPosition="0">
        <references count="2">
          <reference field="4294967294" count="1" selected="0">
            <x v="0"/>
          </reference>
          <reference field="7"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7" count="1" selected="0">
            <x v="0"/>
          </reference>
        </references>
      </pivotArea>
    </chartFormat>
    <chartFormat chart="9" format="8">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DCFF79-BAC1-A64B-BBFD-D67517C72952}" name="PivotTable1" cacheId="2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A10:F59" firstHeaderRow="1" firstDataRow="2" firstDataCol="2"/>
  <pivotFields count="19">
    <pivotField compact="0" outline="0" showAll="0"/>
    <pivotField compact="0" numFmtId="14"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5" outline="0" showAll="0">
      <items count="5">
        <item x="3"/>
        <item x="1"/>
        <item x="0"/>
        <item x="2"/>
        <item t="default"/>
      </items>
    </pivotField>
    <pivotField compact="0" numFmtId="166" outline="0" showAll="0"/>
    <pivotField dataField="1" compact="0" numFmtId="166"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axis="axisRow"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axis="axisRow" compact="0" outline="0" showAll="0">
      <items count="7">
        <item x="0"/>
        <item x="1"/>
        <item x="2"/>
        <item x="3"/>
        <item x="4"/>
        <item x="5"/>
        <item t="default"/>
      </items>
    </pivotField>
  </pivotFields>
  <rowFields count="2">
    <field x="18"/>
    <field x="16"/>
  </rowFields>
  <rowItems count="48">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rowItems>
  <colFields count="1">
    <field x="13"/>
  </colFields>
  <colItems count="4">
    <i>
      <x/>
    </i>
    <i>
      <x v="1"/>
    </i>
    <i>
      <x v="2"/>
    </i>
    <i>
      <x v="3"/>
    </i>
  </colItems>
  <dataFields count="1">
    <dataField name="Sum of Sales" fld="12" baseField="0" baseItem="0" numFmtId="3"/>
  </dataField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2"/>
          </reference>
        </references>
      </pivotArea>
    </chartFormat>
    <chartFormat chart="4" format="11" series="1">
      <pivotArea type="data" outline="0" fieldPosition="0">
        <references count="2">
          <reference field="4294967294" count="1" selected="0">
            <x v="0"/>
          </reference>
          <reference field="13" count="1" selected="0">
            <x v="3"/>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F903DFFD-C356-DA41-9F3C-70A94865A172}" sourceName="Size">
  <pivotTables>
    <pivotTable tabId="18" name="PivotTable1"/>
    <pivotTable tabId="20" name="PivotTable1"/>
    <pivotTable tabId="21" name="PivotTable1"/>
  </pivotTables>
  <data>
    <tabular pivotCacheId="24451671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8CFDFA24-8D27-8F41-8B46-054E5D391736}" sourceName="Roast Type Name">
  <pivotTables>
    <pivotTable tabId="18" name="PivotTable1"/>
    <pivotTable tabId="20" name="PivotTable1"/>
    <pivotTable tabId="21" name="PivotTable1"/>
  </pivotTables>
  <data>
    <tabular pivotCacheId="24451671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3E2A9003-7F29-8C41-AAFC-89165FDE5AFD}" sourceName="Loyalty Card">
  <pivotTables>
    <pivotTable tabId="18" name="PivotTable1"/>
    <pivotTable tabId="20" name="PivotTable1"/>
    <pivotTable tabId="21" name="PivotTable1"/>
  </pivotTables>
  <data>
    <tabular pivotCacheId="24451671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C57311A6-D298-8F47-ADAC-532536BB668A}" cache="Slicer_Size" caption="Size" columnCount="2" style="SlicerStyleDark6" rowHeight="230716"/>
  <slicer name="Roast Type Name 1" xr10:uid="{C44E46AB-2993-8D42-B7AB-BBF199F6BF82}" cache="Slicer_Roast_Type_Name" caption="Roast Type Name" columnCount="3" style="SlicerStyleDark6" rowHeight="230716"/>
  <slicer name="Loyalty Card 1" xr10:uid="{1FE823E4-F6D4-D64F-98B6-2D20C7B22329}" cache="Slicer_Loyalty_Card" caption="Loyalty Card" style="SlicerStyleDark6"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D030021A-43B1-8E4F-BA3B-FF76DB364514}" cache="Slicer_Size" caption="Size" columnCount="2" style="SlicerStyleDark6" rowHeight="230716"/>
  <slicer name="Roast Type Name" xr10:uid="{6DE7B02D-5942-9646-A835-82087D377F60}" cache="Slicer_Roast_Type_Name" caption="Roast Type Name" columnCount="3" style="SlicerStyleDark6" rowHeight="230716"/>
  <slicer name="Loyalty Card" xr10:uid="{FC86A08A-2C83-E44F-A1CF-734D66A2BB1E}" cache="Slicer_Loyalty_Card" caption="Loyalty Card" style="SlicerStyleDark6"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94447C-FDE4-B346-A88D-AEE4957044A0}" name="orders" displayName="orders" ref="A1:P1001" totalsRowShown="0" headerRowDxfId="11">
  <autoFilter ref="A1:P1001" xr:uid="{4794447C-FDE4-B346-A88D-AEE4957044A0}"/>
  <tableColumns count="16">
    <tableColumn id="1" xr3:uid="{67FFB8E6-6538-134F-834B-4E96907370A4}" name="Order ID" dataDxfId="10"/>
    <tableColumn id="2" xr3:uid="{5BB92651-1391-4044-A424-4F272B967146}" name="Order Date" dataDxfId="9"/>
    <tableColumn id="3" xr3:uid="{7A382AAD-CB94-7043-9FE7-11D99E5A0149}" name="Customer ID" dataDxfId="8"/>
    <tableColumn id="4" xr3:uid="{9BE9844D-FE3A-D248-91FD-CB1BF729FE74}" name="Product ID"/>
    <tableColumn id="5" xr3:uid="{1BD74B5E-90A8-7146-ABF5-B01DE91192C5}" name="Quantity" dataDxfId="7"/>
    <tableColumn id="6" xr3:uid="{DBCB8631-3936-714C-AEBC-8B156495BAB0}" name="Customer Name" dataDxfId="6">
      <calculatedColumnFormula>_xlfn.XLOOKUP(C2,customers!$A$1:$A$1001,customers!$B$1:$B$1001,,0)</calculatedColumnFormula>
    </tableColumn>
    <tableColumn id="7" xr3:uid="{5A0FC144-5573-B344-953A-C7A5CFF7ACC0}" name="Email" dataDxfId="5">
      <calculatedColumnFormula>IF(_xlfn.XLOOKUP(C2,customers!$A$1:$A$1001,customers!$C$1:$C$1001,,0)=0,"",_xlfn.XLOOKUP(C2,customers!$A$1:$A$1001,customers!$C$1:$C$1001,,0))</calculatedColumnFormula>
    </tableColumn>
    <tableColumn id="8" xr3:uid="{9DBFB12F-9C55-7A41-A8AB-EE8D13E14E5A}" name="Country" dataDxfId="4">
      <calculatedColumnFormula>_xlfn.XLOOKUP(C2,customers!$A$1:$A$1001,customers!$G$1:$G$1001,,0)</calculatedColumnFormula>
    </tableColumn>
    <tableColumn id="9" xr3:uid="{A569206F-93D1-4F4F-979D-9661E94865DB}" name="Coffee Type">
      <calculatedColumnFormula>INDEX(products!$A$1:$G$49,MATCH(orders!$D2,products!$A$1:$A$49,0),MATCH(orders!I$1,products!$A$1:$G$1,0))</calculatedColumnFormula>
    </tableColumn>
    <tableColumn id="10" xr3:uid="{097EAC4E-A4C3-6D40-ADFD-28FD907D2C2A}" name="Roast Type">
      <calculatedColumnFormula>INDEX(products!$A$1:$G$49,MATCH(orders!$D2,products!$A$1:$A$49,0),MATCH(orders!J$1,products!$A$1:$G$1,0))</calculatedColumnFormula>
    </tableColumn>
    <tableColumn id="11" xr3:uid="{64416988-BCE2-844E-9C5F-531814B19F62}" name="Size" dataDxfId="3">
      <calculatedColumnFormula>INDEX(products!$A$1:$G$49,MATCH(orders!$D2,products!$A$1:$A$49,0),MATCH(orders!K$1,products!$A$1:$G$1,0))</calculatedColumnFormula>
    </tableColumn>
    <tableColumn id="12" xr3:uid="{2A1CD7E3-0830-B047-AC08-5B24B1B16E8B}" name="Unit Price" dataDxfId="2">
      <calculatedColumnFormula>INDEX(products!$A$1:$G$49,MATCH(orders!$D2,products!$A$1:$A$49,0),MATCH(orders!L$1,products!$A$1:$G$1,0))</calculatedColumnFormula>
    </tableColumn>
    <tableColumn id="13" xr3:uid="{F7224311-B33B-7746-89D6-31F1208791A1}" name="Sales" dataDxfId="1">
      <calculatedColumnFormula>L2*E2</calculatedColumnFormula>
    </tableColumn>
    <tableColumn id="14" xr3:uid="{680F1A1A-ACA5-CE41-BE60-2C7F70ED2E5D}" name="Coffee Type Name">
      <calculatedColumnFormula>IF(I2="Rob","Robusta",IF(I2="Exc","Excelsa",IF(I2="Lib","Liberica",IF(I2="Ara","Arabica",""))))</calculatedColumnFormula>
    </tableColumn>
    <tableColumn id="15" xr3:uid="{7B0AE8E2-344B-8B42-B366-312303D1FCB9}" name="Roast Type Name">
      <calculatedColumnFormula>IF(J2="M","Medium",IF(J2="L","Light",IF(J2="D","Dark","")))</calculatedColumnFormula>
    </tableColumn>
    <tableColumn id="16" xr3:uid="{1F334B39-E3DE-3348-9201-84F7EE8C906D}" name="Loyalty Card" dataDxfId="0">
      <calculatedColumnFormula>_xlfn.XLOOKUP(orders[[#This Row],[Customer ID]],customers!$A$1:$A$1001,customers!$I$1:$I$1001,,0)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3CBED9A-C25A-0942-B6BE-BE2F2404FA8A}" sourceName="Order Date">
  <pivotTables>
    <pivotTable tabId="18" name="PivotTable1"/>
    <pivotTable tabId="20" name="PivotTable1"/>
    <pivotTable tabId="21" name="PivotTable1"/>
  </pivotTables>
  <state minimalRefreshVersion="6" lastRefreshVersion="6" pivotCacheId="24451671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0699B870-DD51-DA47-A6D8-CE5A3E1774C3}" cache="NativeTimeline_Order_Date" caption="Order Date" level="2" selectionLevel="2" scrollPosition="2019-01-01T00:00:00" style="TimeSlicerStyleDark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C875D0B-4055-3C45-9700-1D7F5440C8BC}" cache="NativeTimeline_Order_Date" caption="Order Date" level="2" selectionLevel="2" scrollPosition="2019-01-01T00:00:00" style="TimeSlicerStyleDark6"/>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6D267-85AE-E54E-B11C-05924A015CBC}">
  <dimension ref="A1:T6"/>
  <sheetViews>
    <sheetView showGridLines="0" showRowColHeaders="0" tabSelected="1" zoomScale="66" workbookViewId="0">
      <selection activeCell="V21" sqref="V21"/>
    </sheetView>
  </sheetViews>
  <sheetFormatPr baseColWidth="10" defaultRowHeight="15" x14ac:dyDescent="0.2"/>
  <sheetData>
    <row r="1" spans="1:20" ht="15" customHeight="1" x14ac:dyDescent="0.2">
      <c r="A1" s="9" t="s">
        <v>6226</v>
      </c>
      <c r="B1" s="9"/>
      <c r="C1" s="9"/>
      <c r="D1" s="9"/>
      <c r="E1" s="9"/>
      <c r="F1" s="9"/>
      <c r="G1" s="9"/>
      <c r="H1" s="9"/>
      <c r="I1" s="9"/>
      <c r="J1" s="9"/>
      <c r="K1" s="9"/>
      <c r="L1" s="9"/>
      <c r="M1" s="9"/>
      <c r="N1" s="9"/>
      <c r="O1" s="9"/>
      <c r="P1" s="9"/>
      <c r="Q1" s="9"/>
      <c r="R1" s="9"/>
      <c r="S1" s="9"/>
      <c r="T1" s="9"/>
    </row>
    <row r="2" spans="1:20" ht="15" customHeight="1" x14ac:dyDescent="0.2">
      <c r="A2" s="9"/>
      <c r="B2" s="9"/>
      <c r="C2" s="9"/>
      <c r="D2" s="9"/>
      <c r="E2" s="9"/>
      <c r="F2" s="9"/>
      <c r="G2" s="9"/>
      <c r="H2" s="9"/>
      <c r="I2" s="9"/>
      <c r="J2" s="9"/>
      <c r="K2" s="9"/>
      <c r="L2" s="9"/>
      <c r="M2" s="9"/>
      <c r="N2" s="9"/>
      <c r="O2" s="9"/>
      <c r="P2" s="9"/>
      <c r="Q2" s="9"/>
      <c r="R2" s="9"/>
      <c r="S2" s="9"/>
      <c r="T2" s="9"/>
    </row>
    <row r="3" spans="1:20" ht="15" customHeight="1" x14ac:dyDescent="0.2">
      <c r="A3" s="9"/>
      <c r="B3" s="9"/>
      <c r="C3" s="9"/>
      <c r="D3" s="9"/>
      <c r="E3" s="9"/>
      <c r="F3" s="9"/>
      <c r="G3" s="9"/>
      <c r="H3" s="9"/>
      <c r="I3" s="9"/>
      <c r="J3" s="9"/>
      <c r="K3" s="9"/>
      <c r="L3" s="9"/>
      <c r="M3" s="9"/>
      <c r="N3" s="9"/>
      <c r="O3" s="9"/>
      <c r="P3" s="9"/>
      <c r="Q3" s="9"/>
      <c r="R3" s="9"/>
      <c r="S3" s="9"/>
      <c r="T3" s="9"/>
    </row>
    <row r="4" spans="1:20" ht="15" customHeight="1" x14ac:dyDescent="0.2">
      <c r="A4" s="9"/>
      <c r="B4" s="9"/>
      <c r="C4" s="9"/>
      <c r="D4" s="9"/>
      <c r="E4" s="9"/>
      <c r="F4" s="9"/>
      <c r="G4" s="9"/>
      <c r="H4" s="9"/>
      <c r="I4" s="9"/>
      <c r="J4" s="9"/>
      <c r="K4" s="9"/>
      <c r="L4" s="9"/>
      <c r="M4" s="9"/>
      <c r="N4" s="9"/>
      <c r="O4" s="9"/>
      <c r="P4" s="9"/>
      <c r="Q4" s="9"/>
      <c r="R4" s="9"/>
      <c r="S4" s="9"/>
      <c r="T4" s="9"/>
    </row>
    <row r="5" spans="1:20" ht="15" customHeight="1" x14ac:dyDescent="0.2">
      <c r="A5" s="9"/>
      <c r="B5" s="9"/>
      <c r="C5" s="9"/>
      <c r="D5" s="9"/>
      <c r="E5" s="9"/>
      <c r="F5" s="9"/>
      <c r="G5" s="9"/>
      <c r="H5" s="9"/>
      <c r="I5" s="9"/>
      <c r="J5" s="9"/>
      <c r="K5" s="9"/>
      <c r="L5" s="9"/>
      <c r="M5" s="9"/>
      <c r="N5" s="9"/>
      <c r="O5" s="9"/>
      <c r="P5" s="9"/>
      <c r="Q5" s="9"/>
      <c r="R5" s="9"/>
      <c r="S5" s="9"/>
      <c r="T5" s="9"/>
    </row>
    <row r="6" spans="1:20" ht="15" customHeight="1" x14ac:dyDescent="0.2">
      <c r="A6" s="9"/>
      <c r="B6" s="9"/>
      <c r="C6" s="9"/>
      <c r="D6" s="9"/>
      <c r="E6" s="9"/>
      <c r="F6" s="9"/>
      <c r="G6" s="9"/>
      <c r="H6" s="9"/>
      <c r="I6" s="9"/>
      <c r="J6" s="9"/>
      <c r="K6" s="9"/>
      <c r="L6" s="9"/>
      <c r="M6" s="9"/>
      <c r="N6" s="9"/>
      <c r="O6" s="9"/>
      <c r="P6" s="9"/>
      <c r="Q6" s="9"/>
      <c r="R6" s="9"/>
      <c r="S6" s="9"/>
      <c r="T6" s="9"/>
    </row>
  </sheetData>
  <mergeCells count="1">
    <mergeCell ref="A1:T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G1" zoomScale="115" zoomScaleNormal="115" workbookViewId="0">
      <selection activeCell="P3" sqref="P3"/>
    </sheetView>
  </sheetViews>
  <sheetFormatPr baseColWidth="10" defaultColWidth="8.83203125" defaultRowHeight="15" x14ac:dyDescent="0.2"/>
  <cols>
    <col min="1" max="1" width="16.5" bestFit="1" customWidth="1"/>
    <col min="2" max="2" width="12" customWidth="1"/>
    <col min="3" max="3" width="17.5" bestFit="1" customWidth="1"/>
    <col min="4" max="4" width="11.33203125" customWidth="1"/>
    <col min="5" max="5" width="10" customWidth="1"/>
    <col min="6" max="6" width="16.1640625" customWidth="1"/>
    <col min="7" max="7" width="24.6640625" customWidth="1"/>
    <col min="8" max="8" width="11" customWidth="1"/>
    <col min="9" max="9" width="12.5" customWidth="1"/>
    <col min="10" max="10" width="11.6640625" customWidth="1"/>
    <col min="11" max="11" width="7.6640625" customWidth="1"/>
    <col min="12" max="12" width="10.6640625" customWidth="1"/>
    <col min="13" max="13" width="7.83203125" customWidth="1"/>
    <col min="14" max="14" width="17.6640625" customWidth="1"/>
    <col min="15" max="15" width="16.83203125" customWidth="1"/>
  </cols>
  <sheetData>
    <row r="1" spans="1:16" x14ac:dyDescent="0.2">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IF(I2="Rob","Robusta",IF(I2="Exc","Excelsa",IF(I2="Lib","Liberica",IF(I2="Ara","Arabica",""))))</f>
        <v>Robusta</v>
      </c>
      <c r="O2" t="str">
        <f>IF(J2="M","Medium",IF(J2="L","Light",IF(J2="D","Dark","")))</f>
        <v>Medium</v>
      </c>
      <c r="P2" t="str">
        <f>_xlfn.XLOOKUP(orders[[#This Row],[Customer ID]],customers!$A$1:$A$1001,customers!$I$1:$I$1001,,0)</f>
        <v>Yes</v>
      </c>
    </row>
    <row r="3" spans="1:16" x14ac:dyDescent="0.2">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IF(I3="Rob","Robusta",IF(I3="Exc","Excelsa",IF(I3="Lib","Liberica",IF(I3="Ara","Arabica",""))))</f>
        <v>Excelsa</v>
      </c>
      <c r="O3" t="str">
        <f t="shared" ref="O3:O66" si="2">IF(J3="M","Medium",IF(J3="L","Light",IF(J3="D","Dark","")))</f>
        <v>Medium</v>
      </c>
      <c r="P3" t="str">
        <f>_xlfn.XLOOKUP(orders[[#This Row],[Customer ID]],customers!$A$1:$A$1001,customers!$I$1:$I$1001,,0)</f>
        <v>Yes</v>
      </c>
    </row>
    <row r="4" spans="1:16" x14ac:dyDescent="0.2">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2">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2">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2">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2">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2">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2">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2">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2">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2">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2">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2">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2">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2">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2">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2">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2">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2">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2">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2">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2">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2">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2">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2">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2">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2">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2">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2">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2">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2">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2">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2">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2">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2">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2">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2">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2">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2">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2">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2">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2">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2">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2">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2">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2">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2">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2">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2">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2">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2">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2">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2">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2">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2">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2">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2">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2">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2">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2">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2">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2">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2">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2">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IF(I67="Rob","Robusta",IF(I67="Exc","Excelsa",IF(I67="Lib","Liberica",IF(I67="Ara","Arabica",""))))</f>
        <v>Robusta</v>
      </c>
      <c r="O67" t="str">
        <f t="shared" ref="O67:O130" si="5">IF(J67="M","Medium",IF(J67="L","Light",IF(J67="D","Dark","")))</f>
        <v>Dark</v>
      </c>
      <c r="P67" t="str">
        <f>_xlfn.XLOOKUP(orders[[#This Row],[Customer ID]],customers!$A$1:$A$1001,customers!$I$1:$I$1001,,0)</f>
        <v>Yes</v>
      </c>
    </row>
    <row r="68" spans="1:16" x14ac:dyDescent="0.2">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2">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2">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2">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2">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2">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2">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2">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2">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2">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2">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2">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2">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2">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2">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2">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2">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2">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2">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2">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2">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2">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2">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2">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2">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2">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2">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2">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2">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2">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2">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2">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2">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2">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2">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2">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2">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2">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2">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2">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2">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2">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2">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IF(I131="Rob","Robusta",IF(I131="Exc","Excelsa",IF(I131="Lib","Liberica",IF(I131="Ara","Arabica",""))))</f>
        <v>Excelsa</v>
      </c>
      <c r="O131" t="str">
        <f t="shared" ref="O131:O194" si="8">IF(J131="M","Medium",IF(J131="L","Light",IF(J131="D","Dark","")))</f>
        <v>Dark</v>
      </c>
      <c r="P131" t="str">
        <f>_xlfn.XLOOKUP(orders[[#This Row],[Customer ID]],customers!$A$1:$A$1001,customers!$I$1:$I$1001,,0)</f>
        <v>Yes</v>
      </c>
    </row>
    <row r="132" spans="1:16" x14ac:dyDescent="0.2">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2">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2">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2">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2">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2">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2">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2">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2">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2">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2">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2">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2">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2">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2">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2">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2">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2">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2">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2">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2">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2">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2">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2">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2">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IF(I195="Rob","Robusta",IF(I195="Exc","Excelsa",IF(I195="Lib","Liberica",IF(I195="Ara","Arabica",""))))</f>
        <v>Excelsa</v>
      </c>
      <c r="O195" t="str">
        <f t="shared" ref="O195:O258" si="11">IF(J195="M","Medium",IF(J195="L","Light",IF(J195="D","Dark","")))</f>
        <v>Light</v>
      </c>
      <c r="P195" t="str">
        <f>_xlfn.XLOOKUP(orders[[#This Row],[Customer ID]],customers!$A$1:$A$1001,customers!$I$1:$I$1001,,0)</f>
        <v>No</v>
      </c>
    </row>
    <row r="196" spans="1:16" x14ac:dyDescent="0.2">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2">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2">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2">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2">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2">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2">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2">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2">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2">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2">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2">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2">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2">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2">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2">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2">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2">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2">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2">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2">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2">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IF(I259="Rob","Robusta",IF(I259="Exc","Excelsa",IF(I259="Lib","Liberica",IF(I259="Ara","Arabica",""))))</f>
        <v>Excelsa</v>
      </c>
      <c r="O259" t="str">
        <f t="shared" ref="O259:O322" si="14">IF(J259="M","Medium",IF(J259="L","Light",IF(J259="D","Dark","")))</f>
        <v>Dark</v>
      </c>
      <c r="P259" t="str">
        <f>_xlfn.XLOOKUP(orders[[#This Row],[Customer ID]],customers!$A$1:$A$1001,customers!$I$1:$I$1001,,0)</f>
        <v>Yes</v>
      </c>
    </row>
    <row r="260" spans="1:16" x14ac:dyDescent="0.2">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2">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2">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2">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2">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2">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2">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2">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2">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2">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2">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2">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2">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2">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2">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2">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2">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2">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IF(I323="Rob","Robusta",IF(I323="Exc","Excelsa",IF(I323="Lib","Liberica",IF(I323="Ara","Arabica",""))))</f>
        <v>Arabica</v>
      </c>
      <c r="O323" t="str">
        <f t="shared" ref="O323:O386" si="17">IF(J323="M","Medium",IF(J323="L","Light",IF(J323="D","Dark","")))</f>
        <v>Medium</v>
      </c>
      <c r="P323" t="str">
        <f>_xlfn.XLOOKUP(orders[[#This Row],[Customer ID]],customers!$A$1:$A$1001,customers!$I$1:$I$1001,,0)</f>
        <v>Yes</v>
      </c>
    </row>
    <row r="324" spans="1:16" x14ac:dyDescent="0.2">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2">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2">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2">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2">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2">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2">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2">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2">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2">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2">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2">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2">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2">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2">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2">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2">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2">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2">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2">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2">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2">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2">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2">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2">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2">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2">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2">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2">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IF(I387="Rob","Robusta",IF(I387="Exc","Excelsa",IF(I387="Lib","Liberica",IF(I387="Ara","Arabica",""))))</f>
        <v>Liberica</v>
      </c>
      <c r="O387" t="str">
        <f t="shared" ref="O387:O450" si="20">IF(J387="M","Medium",IF(J387="L","Light",IF(J387="D","Dark","")))</f>
        <v>Medium</v>
      </c>
      <c r="P387" t="str">
        <f>_xlfn.XLOOKUP(orders[[#This Row],[Customer ID]],customers!$A$1:$A$1001,customers!$I$1:$I$1001,,0)</f>
        <v>Yes</v>
      </c>
    </row>
    <row r="388" spans="1:16" x14ac:dyDescent="0.2">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2">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2">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2">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2">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2">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2">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2">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2">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2">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2">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2">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2">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2">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2">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2">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2">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2">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2">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2">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2">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2">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IF(I451="Rob","Robusta",IF(I451="Exc","Excelsa",IF(I451="Lib","Liberica",IF(I451="Ara","Arabica",""))))</f>
        <v>Robusta</v>
      </c>
      <c r="O451" t="str">
        <f t="shared" ref="O451:O514" si="23">IF(J451="M","Medium",IF(J451="L","Light",IF(J451="D","Dark","")))</f>
        <v>Dark</v>
      </c>
      <c r="P451" t="str">
        <f>_xlfn.XLOOKUP(orders[[#This Row],[Customer ID]],customers!$A$1:$A$1001,customers!$I$1:$I$1001,,0)</f>
        <v>No</v>
      </c>
    </row>
    <row r="452" spans="1:16" x14ac:dyDescent="0.2">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2">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2">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2">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2">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2">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2">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2">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2">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2">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2">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2">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2">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2">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2">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2">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2">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2">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2">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2">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2">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2">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2">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IF(I515="Rob","Robusta",IF(I515="Exc","Excelsa",IF(I515="Lib","Liberica",IF(I515="Ara","Arabica",""))))</f>
        <v>Liberica</v>
      </c>
      <c r="O515" t="str">
        <f t="shared" ref="O515:O578" si="26">IF(J515="M","Medium",IF(J515="L","Light",IF(J515="D","Dark","")))</f>
        <v>Light</v>
      </c>
      <c r="P515" t="str">
        <f>_xlfn.XLOOKUP(orders[[#This Row],[Customer ID]],customers!$A$1:$A$1001,customers!$I$1:$I$1001,,0)</f>
        <v>No</v>
      </c>
    </row>
    <row r="516" spans="1:16" x14ac:dyDescent="0.2">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2">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2">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2">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2">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2">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2">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2">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2">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2">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2">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2">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2">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2">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2">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2">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2">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2">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IF(I579="Rob","Robusta",IF(I579="Exc","Excelsa",IF(I579="Lib","Liberica",IF(I579="Ara","Arabica",""))))</f>
        <v>Liberica</v>
      </c>
      <c r="O579" t="str">
        <f t="shared" ref="O579:O642" si="29">IF(J579="M","Medium",IF(J579="L","Light",IF(J579="D","Dark","")))</f>
        <v>Medium</v>
      </c>
      <c r="P579" t="str">
        <f>_xlfn.XLOOKUP(orders[[#This Row],[Customer ID]],customers!$A$1:$A$1001,customers!$I$1:$I$1001,,0)</f>
        <v>No</v>
      </c>
    </row>
    <row r="580" spans="1:16" x14ac:dyDescent="0.2">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2">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2">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2">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2">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2">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2">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2">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2">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2">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2">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2">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2">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2">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2">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2">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2">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2">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IF(I643="Rob","Robusta",IF(I643="Exc","Excelsa",IF(I643="Lib","Liberica",IF(I643="Ara","Arabica",""))))</f>
        <v>Robusta</v>
      </c>
      <c r="O643" t="str">
        <f t="shared" ref="O643:O706" si="32">IF(J643="M","Medium",IF(J643="L","Light",IF(J643="D","Dark","")))</f>
        <v>Light</v>
      </c>
      <c r="P643" t="str">
        <f>_xlfn.XLOOKUP(orders[[#This Row],[Customer ID]],customers!$A$1:$A$1001,customers!$I$1:$I$1001,,0)</f>
        <v>Yes</v>
      </c>
    </row>
    <row r="644" spans="1:16" x14ac:dyDescent="0.2">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2">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2">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2">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2">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2">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2">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2">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2">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2">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2">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2">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2">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2">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2">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2">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2">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2">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2">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2">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2">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2">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IF(I707="Rob","Robusta",IF(I707="Exc","Excelsa",IF(I707="Lib","Liberica",IF(I707="Ara","Arabica",""))))</f>
        <v>Excelsa</v>
      </c>
      <c r="O707" t="str">
        <f t="shared" ref="O707:O770" si="35">IF(J707="M","Medium",IF(J707="L","Light",IF(J707="D","Dark","")))</f>
        <v>Light</v>
      </c>
      <c r="P707" t="str">
        <f>_xlfn.XLOOKUP(orders[[#This Row],[Customer ID]],customers!$A$1:$A$1001,customers!$I$1:$I$1001,,0)</f>
        <v>No</v>
      </c>
    </row>
    <row r="708" spans="1:16" x14ac:dyDescent="0.2">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2">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2">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2">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2">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2">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2">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2">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2">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2">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2">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2">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2">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2">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2">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2">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2">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2">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2">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2">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2">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2">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2">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2">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2">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2">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IF(I771="Rob","Robusta",IF(I771="Exc","Excelsa",IF(I771="Lib","Liberica",IF(I771="Ara","Arabica",""))))</f>
        <v>Robusta</v>
      </c>
      <c r="O771" t="str">
        <f t="shared" ref="O771:O834" si="38">IF(J771="M","Medium",IF(J771="L","Light",IF(J771="D","Dark","")))</f>
        <v>Medium</v>
      </c>
      <c r="P771" t="str">
        <f>_xlfn.XLOOKUP(orders[[#This Row],[Customer ID]],customers!$A$1:$A$1001,customers!$I$1:$I$1001,,0)</f>
        <v>No</v>
      </c>
    </row>
    <row r="772" spans="1:16" x14ac:dyDescent="0.2">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2">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2">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2">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2">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2">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2">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2">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2">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2">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2">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2">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2">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2">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2">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2">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2">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2">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2">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2">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2">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2">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IF(I835="Rob","Robusta",IF(I835="Exc","Excelsa",IF(I835="Lib","Liberica",IF(I835="Ara","Arabica",""))))</f>
        <v>Robusta</v>
      </c>
      <c r="O835" t="str">
        <f t="shared" ref="O835:O898" si="41">IF(J835="M","Medium",IF(J835="L","Light",IF(J835="D","Dark","")))</f>
        <v>Dark</v>
      </c>
      <c r="P835" t="str">
        <f>_xlfn.XLOOKUP(orders[[#This Row],[Customer ID]],customers!$A$1:$A$1001,customers!$I$1:$I$1001,,0)</f>
        <v>Yes</v>
      </c>
    </row>
    <row r="836" spans="1:16" x14ac:dyDescent="0.2">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2">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2">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2">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2">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2">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2">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2">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2">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2">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2">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2">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2">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2">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2">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2">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2">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2">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IF(I899="Rob","Robusta",IF(I899="Exc","Excelsa",IF(I899="Lib","Liberica",IF(I899="Ara","Arabica",""))))</f>
        <v>Excelsa</v>
      </c>
      <c r="O899" t="str">
        <f t="shared" ref="O899:O962" si="44">IF(J899="M","Medium",IF(J899="L","Light",IF(J899="D","Dark","")))</f>
        <v>Dark</v>
      </c>
      <c r="P899" t="str">
        <f>_xlfn.XLOOKUP(orders[[#This Row],[Customer ID]],customers!$A$1:$A$1001,customers!$I$1:$I$1001,,0)</f>
        <v>No</v>
      </c>
    </row>
    <row r="900" spans="1:16" x14ac:dyDescent="0.2">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2">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2">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2">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2">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2">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2">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2">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2">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2">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2">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2">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2">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2">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2">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2">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2">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IF(I963="Rob","Robusta",IF(I963="Exc","Excelsa",IF(I963="Lib","Liberica",IF(I963="Ara","Arabica",""))))</f>
        <v>Arabica</v>
      </c>
      <c r="O963" t="str">
        <f t="shared" ref="O963:O1001" si="47">IF(J963="M","Medium",IF(J963="L","Light",IF(J963="D","Dark","")))</f>
        <v>Dark</v>
      </c>
      <c r="P963" t="str">
        <f>_xlfn.XLOOKUP(orders[[#This Row],[Customer ID]],customers!$A$1:$A$1001,customers!$I$1:$I$1001,,0)</f>
        <v>Yes</v>
      </c>
    </row>
    <row r="964" spans="1:16" x14ac:dyDescent="0.2">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2">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2">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2">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2">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2">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2">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2">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2">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2">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65" workbookViewId="0"/>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C827B-4808-D14F-94C2-C8EB97F3E181}">
  <dimension ref="A10:O28"/>
  <sheetViews>
    <sheetView workbookViewId="0">
      <selection activeCell="L32" sqref="L32"/>
    </sheetView>
  </sheetViews>
  <sheetFormatPr baseColWidth="10" defaultRowHeight="15" x14ac:dyDescent="0.2"/>
  <cols>
    <col min="1" max="1" width="16" bestFit="1" customWidth="1"/>
    <col min="2" max="3" width="10.5" bestFit="1" customWidth="1"/>
    <col min="4" max="4" width="6.6640625" bestFit="1" customWidth="1"/>
    <col min="5" max="6" width="7.33203125" bestFit="1" customWidth="1"/>
    <col min="7" max="7" width="10" bestFit="1" customWidth="1"/>
  </cols>
  <sheetData>
    <row r="10" spans="1:2" x14ac:dyDescent="0.2">
      <c r="A10" s="6" t="s">
        <v>4</v>
      </c>
      <c r="B10" t="s">
        <v>6224</v>
      </c>
    </row>
    <row r="11" spans="1:2" x14ac:dyDescent="0.2">
      <c r="A11" t="s">
        <v>3753</v>
      </c>
      <c r="B11" s="8">
        <v>278.01</v>
      </c>
    </row>
    <row r="12" spans="1:2" x14ac:dyDescent="0.2">
      <c r="A12" t="s">
        <v>1598</v>
      </c>
      <c r="B12" s="8">
        <v>281.67499999999995</v>
      </c>
    </row>
    <row r="13" spans="1:2" x14ac:dyDescent="0.2">
      <c r="A13" t="s">
        <v>2587</v>
      </c>
      <c r="B13" s="8">
        <v>289.11</v>
      </c>
    </row>
    <row r="14" spans="1:2" x14ac:dyDescent="0.2">
      <c r="A14" t="s">
        <v>5765</v>
      </c>
      <c r="B14" s="8">
        <v>307.04499999999996</v>
      </c>
    </row>
    <row r="15" spans="1:2" x14ac:dyDescent="0.2">
      <c r="A15" t="s">
        <v>5114</v>
      </c>
      <c r="B15" s="8">
        <v>317.06999999999994</v>
      </c>
    </row>
    <row r="27" spans="1:15" x14ac:dyDescent="0.2">
      <c r="A27" t="s">
        <v>6225</v>
      </c>
    </row>
    <row r="28" spans="1:15" x14ac:dyDescent="0.2">
      <c r="O28" t="s">
        <v>6225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CD5BA-59D3-1344-961F-8F8631AAC39C}">
  <dimension ref="A10:O28"/>
  <sheetViews>
    <sheetView topLeftCell="A6" workbookViewId="0">
      <selection activeCell="P17" sqref="P17"/>
    </sheetView>
  </sheetViews>
  <sheetFormatPr baseColWidth="10" defaultRowHeight="15" x14ac:dyDescent="0.2"/>
  <cols>
    <col min="1" max="1" width="13.5" bestFit="1" customWidth="1"/>
    <col min="2" max="3" width="10.5" bestFit="1" customWidth="1"/>
    <col min="4" max="4" width="6.6640625" bestFit="1" customWidth="1"/>
    <col min="5" max="6" width="7.33203125" bestFit="1" customWidth="1"/>
    <col min="7" max="7" width="10" bestFit="1" customWidth="1"/>
  </cols>
  <sheetData>
    <row r="10" spans="1:2" x14ac:dyDescent="0.2">
      <c r="A10" s="6" t="s">
        <v>7</v>
      </c>
      <c r="B10" t="s">
        <v>6224</v>
      </c>
    </row>
    <row r="11" spans="1:2" x14ac:dyDescent="0.2">
      <c r="A11" t="s">
        <v>28</v>
      </c>
      <c r="B11" s="8">
        <v>2798.5050000000001</v>
      </c>
    </row>
    <row r="12" spans="1:2" x14ac:dyDescent="0.2">
      <c r="A12" t="s">
        <v>318</v>
      </c>
      <c r="B12" s="8">
        <v>6696.8649999999989</v>
      </c>
    </row>
    <row r="13" spans="1:2" x14ac:dyDescent="0.2">
      <c r="A13" t="s">
        <v>19</v>
      </c>
      <c r="B13" s="8">
        <v>35638.88499999998</v>
      </c>
    </row>
    <row r="28" spans="15:15" x14ac:dyDescent="0.2">
      <c r="O28" t="s">
        <v>6225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C7484-F2A3-D243-B81F-53E558062A93}">
  <dimension ref="A10:F59"/>
  <sheetViews>
    <sheetView topLeftCell="C1" workbookViewId="0">
      <selection activeCell="T20" sqref="T20"/>
    </sheetView>
  </sheetViews>
  <sheetFormatPr baseColWidth="10" defaultRowHeight="15" x14ac:dyDescent="0.2"/>
  <cols>
    <col min="1" max="1" width="12.1640625" bestFit="1" customWidth="1"/>
    <col min="2" max="2" width="19.6640625" bestFit="1" customWidth="1"/>
    <col min="3" max="3" width="17.5" bestFit="1" customWidth="1"/>
    <col min="4" max="4" width="6.6640625" bestFit="1" customWidth="1"/>
    <col min="5" max="6" width="7.33203125" bestFit="1" customWidth="1"/>
    <col min="7" max="7" width="10" bestFit="1" customWidth="1"/>
  </cols>
  <sheetData>
    <row r="10" spans="1:6" x14ac:dyDescent="0.2">
      <c r="A10" s="6" t="s">
        <v>6224</v>
      </c>
      <c r="C10" s="6" t="s">
        <v>6196</v>
      </c>
    </row>
    <row r="11" spans="1:6" x14ac:dyDescent="0.2">
      <c r="A11" s="6" t="s">
        <v>6214</v>
      </c>
      <c r="B11" s="6" t="s">
        <v>6215</v>
      </c>
      <c r="C11" t="s">
        <v>6220</v>
      </c>
      <c r="D11" t="s">
        <v>6221</v>
      </c>
      <c r="E11" t="s">
        <v>6222</v>
      </c>
      <c r="F11" t="s">
        <v>6223</v>
      </c>
    </row>
    <row r="12" spans="1:6" x14ac:dyDescent="0.2">
      <c r="A12" t="s">
        <v>6198</v>
      </c>
      <c r="B12" t="s">
        <v>6202</v>
      </c>
      <c r="C12" s="7">
        <v>186.85499999999999</v>
      </c>
      <c r="D12" s="7">
        <v>305.97000000000003</v>
      </c>
      <c r="E12" s="7">
        <v>213.15999999999997</v>
      </c>
      <c r="F12" s="7">
        <v>123</v>
      </c>
    </row>
    <row r="13" spans="1:6" x14ac:dyDescent="0.2">
      <c r="B13" t="s">
        <v>6203</v>
      </c>
      <c r="C13" s="7">
        <v>251.96499999999997</v>
      </c>
      <c r="D13" s="7">
        <v>129.46</v>
      </c>
      <c r="E13" s="7">
        <v>434.03999999999996</v>
      </c>
      <c r="F13" s="7">
        <v>171.93999999999997</v>
      </c>
    </row>
    <row r="14" spans="1:6" x14ac:dyDescent="0.2">
      <c r="B14" t="s">
        <v>6204</v>
      </c>
      <c r="C14" s="7">
        <v>224.94499999999999</v>
      </c>
      <c r="D14" s="7">
        <v>349.12</v>
      </c>
      <c r="E14" s="7">
        <v>321.04000000000002</v>
      </c>
      <c r="F14" s="7">
        <v>126.035</v>
      </c>
    </row>
    <row r="15" spans="1:6" x14ac:dyDescent="0.2">
      <c r="B15" t="s">
        <v>6205</v>
      </c>
      <c r="C15" s="7">
        <v>307.12</v>
      </c>
      <c r="D15" s="7">
        <v>681.07499999999993</v>
      </c>
      <c r="E15" s="7">
        <v>533.70499999999993</v>
      </c>
      <c r="F15" s="7">
        <v>158.85</v>
      </c>
    </row>
    <row r="16" spans="1:6" x14ac:dyDescent="0.2">
      <c r="B16" t="s">
        <v>6206</v>
      </c>
      <c r="C16" s="7">
        <v>53.664999999999992</v>
      </c>
      <c r="D16" s="7">
        <v>83.025000000000006</v>
      </c>
      <c r="E16" s="7">
        <v>193.83499999999998</v>
      </c>
      <c r="F16" s="7">
        <v>68.039999999999992</v>
      </c>
    </row>
    <row r="17" spans="1:6" x14ac:dyDescent="0.2">
      <c r="B17" t="s">
        <v>6207</v>
      </c>
      <c r="C17" s="7">
        <v>163.01999999999998</v>
      </c>
      <c r="D17" s="7">
        <v>678.3599999999999</v>
      </c>
      <c r="E17" s="7">
        <v>171.04500000000002</v>
      </c>
      <c r="F17" s="7">
        <v>372.255</v>
      </c>
    </row>
    <row r="18" spans="1:6" x14ac:dyDescent="0.2">
      <c r="B18" t="s">
        <v>6208</v>
      </c>
      <c r="C18" s="7">
        <v>345.02</v>
      </c>
      <c r="D18" s="7">
        <v>273.86999999999995</v>
      </c>
      <c r="E18" s="7">
        <v>184.12999999999997</v>
      </c>
      <c r="F18" s="7">
        <v>201.11499999999998</v>
      </c>
    </row>
    <row r="19" spans="1:6" x14ac:dyDescent="0.2">
      <c r="B19" t="s">
        <v>6209</v>
      </c>
      <c r="C19" s="7">
        <v>334.89</v>
      </c>
      <c r="D19" s="7">
        <v>70.95</v>
      </c>
      <c r="E19" s="7">
        <v>134.23000000000002</v>
      </c>
      <c r="F19" s="7">
        <v>166.27499999999998</v>
      </c>
    </row>
    <row r="20" spans="1:6" x14ac:dyDescent="0.2">
      <c r="B20" t="s">
        <v>6210</v>
      </c>
      <c r="C20" s="7">
        <v>178.70999999999998</v>
      </c>
      <c r="D20" s="7">
        <v>166.1</v>
      </c>
      <c r="E20" s="7">
        <v>439.30999999999995</v>
      </c>
      <c r="F20" s="7">
        <v>492.9</v>
      </c>
    </row>
    <row r="21" spans="1:6" x14ac:dyDescent="0.2">
      <c r="B21" t="s">
        <v>6211</v>
      </c>
      <c r="C21" s="7">
        <v>301.98500000000001</v>
      </c>
      <c r="D21" s="7">
        <v>153.76499999999999</v>
      </c>
      <c r="E21" s="7">
        <v>215.55499999999998</v>
      </c>
      <c r="F21" s="7">
        <v>213.66499999999999</v>
      </c>
    </row>
    <row r="22" spans="1:6" x14ac:dyDescent="0.2">
      <c r="B22" t="s">
        <v>6212</v>
      </c>
      <c r="C22" s="7">
        <v>312.83499999999998</v>
      </c>
      <c r="D22" s="7">
        <v>63.249999999999993</v>
      </c>
      <c r="E22" s="7">
        <v>350.89500000000004</v>
      </c>
      <c r="F22" s="7">
        <v>96.405000000000001</v>
      </c>
    </row>
    <row r="23" spans="1:6" x14ac:dyDescent="0.2">
      <c r="B23" t="s">
        <v>6213</v>
      </c>
      <c r="C23" s="7">
        <v>265.62</v>
      </c>
      <c r="D23" s="7">
        <v>526.51499999999987</v>
      </c>
      <c r="E23" s="7">
        <v>187.06</v>
      </c>
      <c r="F23" s="7">
        <v>210.58999999999997</v>
      </c>
    </row>
    <row r="24" spans="1:6" x14ac:dyDescent="0.2">
      <c r="A24" t="s">
        <v>6216</v>
      </c>
      <c r="C24" s="7">
        <v>2926.63</v>
      </c>
      <c r="D24" s="7">
        <v>3481.4599999999996</v>
      </c>
      <c r="E24" s="7">
        <v>3378.0049999999997</v>
      </c>
      <c r="F24" s="7">
        <v>2401.0700000000002</v>
      </c>
    </row>
    <row r="25" spans="1:6" x14ac:dyDescent="0.2">
      <c r="A25" t="s">
        <v>6199</v>
      </c>
      <c r="B25" t="s">
        <v>6202</v>
      </c>
      <c r="C25" s="7">
        <v>47.25</v>
      </c>
      <c r="D25" s="7">
        <v>65.805000000000007</v>
      </c>
      <c r="E25" s="7">
        <v>274.67500000000001</v>
      </c>
      <c r="F25" s="7">
        <v>179.22</v>
      </c>
    </row>
    <row r="26" spans="1:6" x14ac:dyDescent="0.2">
      <c r="B26" t="s">
        <v>6203</v>
      </c>
      <c r="C26" s="7">
        <v>745.44999999999993</v>
      </c>
      <c r="D26" s="7">
        <v>428.88499999999999</v>
      </c>
      <c r="E26" s="7">
        <v>194.17499999999998</v>
      </c>
      <c r="F26" s="7">
        <v>429.82999999999993</v>
      </c>
    </row>
    <row r="27" spans="1:6" x14ac:dyDescent="0.2">
      <c r="B27" t="s">
        <v>6204</v>
      </c>
      <c r="C27" s="7">
        <v>130.47</v>
      </c>
      <c r="D27" s="7">
        <v>271.48500000000001</v>
      </c>
      <c r="E27" s="7">
        <v>281.20499999999998</v>
      </c>
      <c r="F27" s="7">
        <v>231.63000000000002</v>
      </c>
    </row>
    <row r="28" spans="1:6" x14ac:dyDescent="0.2">
      <c r="B28" t="s">
        <v>6205</v>
      </c>
      <c r="C28" s="7">
        <v>27</v>
      </c>
      <c r="D28" s="7">
        <v>347.26</v>
      </c>
      <c r="E28" s="7">
        <v>147.51</v>
      </c>
      <c r="F28" s="7">
        <v>240.04</v>
      </c>
    </row>
    <row r="29" spans="1:6" x14ac:dyDescent="0.2">
      <c r="B29" t="s">
        <v>6206</v>
      </c>
      <c r="C29" s="7">
        <v>255.11499999999995</v>
      </c>
      <c r="D29" s="7">
        <v>541.73</v>
      </c>
      <c r="E29" s="7">
        <v>83.43</v>
      </c>
      <c r="F29" s="7">
        <v>59.079999999999991</v>
      </c>
    </row>
    <row r="30" spans="1:6" x14ac:dyDescent="0.2">
      <c r="B30" t="s">
        <v>6207</v>
      </c>
      <c r="C30" s="7">
        <v>584.78999999999985</v>
      </c>
      <c r="D30" s="7">
        <v>357.42999999999995</v>
      </c>
      <c r="E30" s="7">
        <v>355.34</v>
      </c>
      <c r="F30" s="7">
        <v>140.88</v>
      </c>
    </row>
    <row r="31" spans="1:6" x14ac:dyDescent="0.2">
      <c r="B31" t="s">
        <v>6208</v>
      </c>
      <c r="C31" s="7">
        <v>430.62</v>
      </c>
      <c r="D31" s="7">
        <v>227.42500000000001</v>
      </c>
      <c r="E31" s="7">
        <v>236.315</v>
      </c>
      <c r="F31" s="7">
        <v>414.58499999999992</v>
      </c>
    </row>
    <row r="32" spans="1:6" x14ac:dyDescent="0.2">
      <c r="B32" t="s">
        <v>6209</v>
      </c>
      <c r="C32" s="7">
        <v>22.5</v>
      </c>
      <c r="D32" s="7">
        <v>77.72</v>
      </c>
      <c r="E32" s="7">
        <v>60.5</v>
      </c>
      <c r="F32" s="7">
        <v>139.67999999999998</v>
      </c>
    </row>
    <row r="33" spans="1:6" x14ac:dyDescent="0.2">
      <c r="B33" t="s">
        <v>6210</v>
      </c>
      <c r="C33" s="7">
        <v>126.14999999999999</v>
      </c>
      <c r="D33" s="7">
        <v>195.11</v>
      </c>
      <c r="E33" s="7">
        <v>89.13</v>
      </c>
      <c r="F33" s="7">
        <v>302.65999999999997</v>
      </c>
    </row>
    <row r="34" spans="1:6" x14ac:dyDescent="0.2">
      <c r="B34" t="s">
        <v>6211</v>
      </c>
      <c r="C34" s="7">
        <v>376.03</v>
      </c>
      <c r="D34" s="7">
        <v>523.24</v>
      </c>
      <c r="E34" s="7">
        <v>440.96499999999997</v>
      </c>
      <c r="F34" s="7">
        <v>174.46999999999997</v>
      </c>
    </row>
    <row r="35" spans="1:6" x14ac:dyDescent="0.2">
      <c r="B35" t="s">
        <v>6212</v>
      </c>
      <c r="C35" s="7">
        <v>515.17999999999995</v>
      </c>
      <c r="D35" s="7">
        <v>142.56</v>
      </c>
      <c r="E35" s="7">
        <v>347.03999999999996</v>
      </c>
      <c r="F35" s="7">
        <v>104.08499999999999</v>
      </c>
    </row>
    <row r="36" spans="1:6" x14ac:dyDescent="0.2">
      <c r="B36" t="s">
        <v>6213</v>
      </c>
      <c r="C36" s="7">
        <v>95.859999999999985</v>
      </c>
      <c r="D36" s="7">
        <v>484.76</v>
      </c>
      <c r="E36" s="7">
        <v>94.17</v>
      </c>
      <c r="F36" s="7">
        <v>77.10499999999999</v>
      </c>
    </row>
    <row r="37" spans="1:6" x14ac:dyDescent="0.2">
      <c r="A37" t="s">
        <v>6217</v>
      </c>
      <c r="C37" s="7">
        <v>3356.415</v>
      </c>
      <c r="D37" s="7">
        <v>3663.41</v>
      </c>
      <c r="E37" s="7">
        <v>2604.4550000000004</v>
      </c>
      <c r="F37" s="7">
        <v>2493.2649999999999</v>
      </c>
    </row>
    <row r="38" spans="1:6" x14ac:dyDescent="0.2">
      <c r="A38" t="s">
        <v>6200</v>
      </c>
      <c r="B38" t="s">
        <v>6202</v>
      </c>
      <c r="C38" s="7">
        <v>258.34500000000003</v>
      </c>
      <c r="D38" s="7">
        <v>139.625</v>
      </c>
      <c r="E38" s="7">
        <v>279.52000000000004</v>
      </c>
      <c r="F38" s="7">
        <v>160.19499999999999</v>
      </c>
    </row>
    <row r="39" spans="1:6" x14ac:dyDescent="0.2">
      <c r="B39" t="s">
        <v>6203</v>
      </c>
      <c r="C39" s="7">
        <v>342.2</v>
      </c>
      <c r="D39" s="7">
        <v>284.24999999999994</v>
      </c>
      <c r="E39" s="7">
        <v>251.83</v>
      </c>
      <c r="F39" s="7">
        <v>80.550000000000011</v>
      </c>
    </row>
    <row r="40" spans="1:6" x14ac:dyDescent="0.2">
      <c r="B40" t="s">
        <v>6204</v>
      </c>
      <c r="C40" s="7">
        <v>418.30499999999989</v>
      </c>
      <c r="D40" s="7">
        <v>468.125</v>
      </c>
      <c r="E40" s="7">
        <v>405.05500000000006</v>
      </c>
      <c r="F40" s="7">
        <v>253.15499999999997</v>
      </c>
    </row>
    <row r="41" spans="1:6" x14ac:dyDescent="0.2">
      <c r="B41" t="s">
        <v>6205</v>
      </c>
      <c r="C41" s="7">
        <v>102.32999999999998</v>
      </c>
      <c r="D41" s="7">
        <v>242.14000000000001</v>
      </c>
      <c r="E41" s="7">
        <v>554.875</v>
      </c>
      <c r="F41" s="7">
        <v>106.23999999999998</v>
      </c>
    </row>
    <row r="42" spans="1:6" x14ac:dyDescent="0.2">
      <c r="B42" t="s">
        <v>6206</v>
      </c>
      <c r="C42" s="7">
        <v>234.71999999999997</v>
      </c>
      <c r="D42" s="7">
        <v>133.08000000000001</v>
      </c>
      <c r="E42" s="7">
        <v>267.2</v>
      </c>
      <c r="F42" s="7">
        <v>272.68999999999994</v>
      </c>
    </row>
    <row r="43" spans="1:6" x14ac:dyDescent="0.2">
      <c r="B43" t="s">
        <v>6207</v>
      </c>
      <c r="C43" s="7">
        <v>430.39</v>
      </c>
      <c r="D43" s="7">
        <v>136.20500000000001</v>
      </c>
      <c r="E43" s="7">
        <v>209.6</v>
      </c>
      <c r="F43" s="7">
        <v>88.334999999999994</v>
      </c>
    </row>
    <row r="44" spans="1:6" x14ac:dyDescent="0.2">
      <c r="B44" t="s">
        <v>6208</v>
      </c>
      <c r="C44" s="7">
        <v>109.005</v>
      </c>
      <c r="D44" s="7">
        <v>393.57499999999999</v>
      </c>
      <c r="E44" s="7">
        <v>61.034999999999997</v>
      </c>
      <c r="F44" s="7">
        <v>199.48999999999998</v>
      </c>
    </row>
    <row r="45" spans="1:6" x14ac:dyDescent="0.2">
      <c r="B45" t="s">
        <v>6209</v>
      </c>
      <c r="C45" s="7">
        <v>287.52499999999998</v>
      </c>
      <c r="D45" s="7">
        <v>288.67</v>
      </c>
      <c r="E45" s="7">
        <v>125.58</v>
      </c>
      <c r="F45" s="7">
        <v>374.13499999999999</v>
      </c>
    </row>
    <row r="46" spans="1:6" x14ac:dyDescent="0.2">
      <c r="B46" t="s">
        <v>6210</v>
      </c>
      <c r="C46" s="7">
        <v>840.92999999999984</v>
      </c>
      <c r="D46" s="7">
        <v>409.875</v>
      </c>
      <c r="E46" s="7">
        <v>171.32999999999998</v>
      </c>
      <c r="F46" s="7">
        <v>221.43999999999997</v>
      </c>
    </row>
    <row r="47" spans="1:6" x14ac:dyDescent="0.2">
      <c r="B47" t="s">
        <v>6211</v>
      </c>
      <c r="C47" s="7">
        <v>299.07</v>
      </c>
      <c r="D47" s="7">
        <v>260.32499999999999</v>
      </c>
      <c r="E47" s="7">
        <v>584.64</v>
      </c>
      <c r="F47" s="7">
        <v>256.36500000000001</v>
      </c>
    </row>
    <row r="48" spans="1:6" x14ac:dyDescent="0.2">
      <c r="B48" t="s">
        <v>6212</v>
      </c>
      <c r="C48" s="7">
        <v>323.32499999999999</v>
      </c>
      <c r="D48" s="7">
        <v>565.57000000000005</v>
      </c>
      <c r="E48" s="7">
        <v>537.80999999999995</v>
      </c>
      <c r="F48" s="7">
        <v>189.47499999999999</v>
      </c>
    </row>
    <row r="49" spans="1:6" x14ac:dyDescent="0.2">
      <c r="B49" t="s">
        <v>6213</v>
      </c>
      <c r="C49" s="7">
        <v>399.48499999999996</v>
      </c>
      <c r="D49" s="7">
        <v>148.19999999999999</v>
      </c>
      <c r="E49" s="7">
        <v>388.21999999999997</v>
      </c>
      <c r="F49" s="7">
        <v>212.07499999999999</v>
      </c>
    </row>
    <row r="50" spans="1:6" x14ac:dyDescent="0.2">
      <c r="A50" t="s">
        <v>6218</v>
      </c>
      <c r="C50" s="7">
        <v>4045.63</v>
      </c>
      <c r="D50" s="7">
        <v>3469.64</v>
      </c>
      <c r="E50" s="7">
        <v>3836.6949999999997</v>
      </c>
      <c r="F50" s="7">
        <v>2414.145</v>
      </c>
    </row>
    <row r="51" spans="1:6" x14ac:dyDescent="0.2">
      <c r="A51" t="s">
        <v>6201</v>
      </c>
      <c r="B51" t="s">
        <v>6202</v>
      </c>
      <c r="C51" s="7">
        <v>112.69499999999999</v>
      </c>
      <c r="D51" s="7">
        <v>166.32</v>
      </c>
      <c r="E51" s="7">
        <v>843.71499999999992</v>
      </c>
      <c r="F51" s="7">
        <v>146.685</v>
      </c>
    </row>
    <row r="52" spans="1:6" x14ac:dyDescent="0.2">
      <c r="B52" t="s">
        <v>6203</v>
      </c>
      <c r="C52" s="7">
        <v>114.87999999999998</v>
      </c>
      <c r="D52" s="7">
        <v>133.815</v>
      </c>
      <c r="E52" s="7">
        <v>91.175000000000011</v>
      </c>
      <c r="F52" s="7">
        <v>53.759999999999991</v>
      </c>
    </row>
    <row r="53" spans="1:6" x14ac:dyDescent="0.2">
      <c r="B53" t="s">
        <v>6204</v>
      </c>
      <c r="C53" s="7">
        <v>277.76</v>
      </c>
      <c r="D53" s="7">
        <v>175.41</v>
      </c>
      <c r="E53" s="7">
        <v>462.50999999999993</v>
      </c>
      <c r="F53" s="7">
        <v>399.52499999999998</v>
      </c>
    </row>
    <row r="54" spans="1:6" x14ac:dyDescent="0.2">
      <c r="B54" t="s">
        <v>6205</v>
      </c>
      <c r="C54" s="7">
        <v>197.89499999999998</v>
      </c>
      <c r="D54" s="7">
        <v>289.755</v>
      </c>
      <c r="E54" s="7">
        <v>88.545000000000002</v>
      </c>
      <c r="F54" s="7">
        <v>200.25499999999997</v>
      </c>
    </row>
    <row r="55" spans="1:6" x14ac:dyDescent="0.2">
      <c r="B55" t="s">
        <v>6206</v>
      </c>
      <c r="C55" s="7">
        <v>193.11499999999998</v>
      </c>
      <c r="D55" s="7">
        <v>212.49499999999998</v>
      </c>
      <c r="E55" s="7">
        <v>292.29000000000002</v>
      </c>
      <c r="F55" s="7">
        <v>304.46999999999997</v>
      </c>
    </row>
    <row r="56" spans="1:6" x14ac:dyDescent="0.2">
      <c r="B56" t="s">
        <v>6207</v>
      </c>
      <c r="C56" s="7">
        <v>179.79</v>
      </c>
      <c r="D56" s="7">
        <v>426.2</v>
      </c>
      <c r="E56" s="7">
        <v>170.08999999999997</v>
      </c>
      <c r="F56" s="7">
        <v>379.31</v>
      </c>
    </row>
    <row r="57" spans="1:6" x14ac:dyDescent="0.2">
      <c r="B57" t="s">
        <v>6208</v>
      </c>
      <c r="C57" s="7">
        <v>247.28999999999996</v>
      </c>
      <c r="D57" s="7">
        <v>246.685</v>
      </c>
      <c r="E57" s="7">
        <v>271.05499999999995</v>
      </c>
      <c r="F57" s="7">
        <v>141.69999999999999</v>
      </c>
    </row>
    <row r="58" spans="1:6" x14ac:dyDescent="0.2">
      <c r="B58" t="s">
        <v>6209</v>
      </c>
      <c r="C58" s="7">
        <v>116.39499999999998</v>
      </c>
      <c r="D58" s="7">
        <v>41.25</v>
      </c>
      <c r="E58" s="7">
        <v>15.54</v>
      </c>
      <c r="F58" s="7">
        <v>71.06</v>
      </c>
    </row>
    <row r="59" spans="1:6" x14ac:dyDescent="0.2">
      <c r="A59" t="s">
        <v>6219</v>
      </c>
      <c r="C59" s="7">
        <v>1439.82</v>
      </c>
      <c r="D59" s="7">
        <v>1691.9299999999998</v>
      </c>
      <c r="E59" s="7">
        <v>2234.9199999999996</v>
      </c>
      <c r="F59" s="7">
        <v>1696.7649999999999</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orders</vt:lpstr>
      <vt:lpstr>customers</vt:lpstr>
      <vt:lpstr>products</vt:lpstr>
      <vt:lpstr>Top5Customers</vt:lpstr>
      <vt:lpstr>CountryBarChart</vt:lpstr>
      <vt:lpstr>TotalSales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Rakhmatulla Davronov</cp:lastModifiedBy>
  <cp:revision/>
  <dcterms:created xsi:type="dcterms:W3CDTF">2022-11-26T09:51:45Z</dcterms:created>
  <dcterms:modified xsi:type="dcterms:W3CDTF">2025-03-27T13:45:53Z</dcterms:modified>
  <cp:category/>
  <cp:contentStatus/>
</cp:coreProperties>
</file>